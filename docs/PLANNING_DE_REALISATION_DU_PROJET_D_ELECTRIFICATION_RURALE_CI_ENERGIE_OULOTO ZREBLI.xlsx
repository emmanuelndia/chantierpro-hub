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ba983f8fbafef4/Dokumente/PROJET CI ENERGIES/ELECTRIFICATION RURALE ZONE DE TIAPLEU ET OULOTO-ZREBLI/"/>
    </mc:Choice>
  </mc:AlternateContent>
  <xr:revisionPtr revIDLastSave="3" documentId="8_{041B88ED-6522-4DB0-AFEF-AC9BBD4C3659}" xr6:coauthVersionLast="47" xr6:coauthVersionMax="47" xr10:uidLastSave="{D84F9551-0C7C-4AC1-A466-CB58C2721287}"/>
  <bookViews>
    <workbookView xWindow="-108" yWindow="-108" windowWidth="23256" windowHeight="12456" xr2:uid="{7A163517-02CD-45C5-A5B4-67EC0BA6C4C4}"/>
  </bookViews>
  <sheets>
    <sheet name="OULOTO-ZREBL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" i="1" l="1"/>
  <c r="H20" i="1"/>
  <c r="G11" i="1"/>
  <c r="H13" i="1" l="1"/>
  <c r="H14" i="1"/>
  <c r="H15" i="1"/>
  <c r="I22" i="1"/>
  <c r="G13" i="1"/>
  <c r="G14" i="1"/>
  <c r="G15" i="1"/>
  <c r="H18" i="1" l="1"/>
  <c r="G18" i="1"/>
  <c r="H12" i="1"/>
  <c r="H16" i="1"/>
  <c r="G12" i="1"/>
  <c r="G16" i="1"/>
  <c r="H21" i="1"/>
  <c r="G21" i="1"/>
  <c r="H19" i="1"/>
  <c r="G19" i="1"/>
  <c r="H17" i="1"/>
  <c r="G17" i="1"/>
</calcChain>
</file>

<file path=xl/sharedStrings.xml><?xml version="1.0" encoding="utf-8"?>
<sst xmlns="http://schemas.openxmlformats.org/spreadsheetml/2006/main" count="74" uniqueCount="41">
  <si>
    <t>Item</t>
  </si>
  <si>
    <t>Scope (Longueur, Quantité)</t>
  </si>
  <si>
    <t>Activité</t>
  </si>
  <si>
    <t>Localité</t>
  </si>
  <si>
    <t>Tache</t>
  </si>
  <si>
    <t>Unité</t>
  </si>
  <si>
    <t>Objectif</t>
  </si>
  <si>
    <t>Réalisé</t>
  </si>
  <si>
    <t>%</t>
  </si>
  <si>
    <t>Ecart</t>
  </si>
  <si>
    <t xml:space="preserve">Durée (j) </t>
  </si>
  <si>
    <t>Total</t>
  </si>
  <si>
    <t>L</t>
  </si>
  <si>
    <t>M</t>
  </si>
  <si>
    <t>J</t>
  </si>
  <si>
    <t>V</t>
  </si>
  <si>
    <t>S</t>
  </si>
  <si>
    <t>Ens</t>
  </si>
  <si>
    <t>u</t>
  </si>
  <si>
    <t xml:space="preserve"> </t>
  </si>
  <si>
    <t>Betonnage de supports + reglage</t>
  </si>
  <si>
    <t xml:space="preserve">Points de diamant + pochage </t>
  </si>
  <si>
    <t xml:space="preserve">Implantation </t>
  </si>
  <si>
    <t>Piquetage</t>
  </si>
  <si>
    <t>Fouille</t>
  </si>
  <si>
    <t>m</t>
  </si>
  <si>
    <t>Tirage de cable HTA</t>
  </si>
  <si>
    <t>Tirage de cable BT</t>
  </si>
  <si>
    <t>Semaine 22</t>
  </si>
  <si>
    <t>Semaine 23</t>
  </si>
  <si>
    <t>Semaine 24</t>
  </si>
  <si>
    <t>Semaine 25</t>
  </si>
  <si>
    <t>Semaine 21</t>
  </si>
  <si>
    <t>ME</t>
  </si>
  <si>
    <t>Réception de fouille</t>
  </si>
  <si>
    <t>Réception de piquetage</t>
  </si>
  <si>
    <t>Levée topographique</t>
  </si>
  <si>
    <t>Pose d'équipement (IACM + Transformateur )</t>
  </si>
  <si>
    <t>31J</t>
  </si>
  <si>
    <t xml:space="preserve"> PROJET : ELECTRIFICATION RURALE CI ENERGIE 
 ZONE DE OULOTO-ZREBLI</t>
  </si>
  <si>
    <t>OULOTO ZREBLI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</si>
</sst>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vertical="center"/>
    </xf>
    <xf numFmtId="9" fontId="0" fillId="0" borderId="0" xfId="1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9" fontId="2" fillId="0" borderId="0" xfId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9" fontId="4" fillId="0" borderId="0" xfId="1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9" fontId="2" fillId="0" borderId="20" xfId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center" vertical="center" wrapText="1"/>
    </xf>
    <xf numFmtId="9" fontId="2" fillId="0" borderId="22" xfId="1" applyFont="1" applyBorder="1" applyAlignment="1">
      <alignment horizontal="center" vertical="center" wrapText="1"/>
    </xf>
    <xf numFmtId="0" fontId="7" fillId="0" borderId="27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0" fontId="0" fillId="0" borderId="19" xfId="0" quotePrefix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0" fillId="4" borderId="17" xfId="0" applyFill="1" applyBorder="1"/>
    <xf numFmtId="0" fontId="0" fillId="4" borderId="19" xfId="0" quotePrefix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0" fillId="0" borderId="17" xfId="0" applyBorder="1"/>
    <xf numFmtId="0" fontId="0" fillId="5" borderId="17" xfId="0" applyFill="1" applyBorder="1"/>
    <xf numFmtId="0" fontId="2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17" fontId="5" fillId="3" borderId="12" xfId="0" applyNumberFormat="1" applyFont="1" applyFill="1" applyBorder="1" applyAlignment="1">
      <alignment horizontal="center" vertical="center" wrapText="1"/>
    </xf>
    <xf numFmtId="17" fontId="5" fillId="3" borderId="8" xfId="0" applyNumberFormat="1" applyFont="1" applyFill="1" applyBorder="1" applyAlignment="1">
      <alignment horizontal="center" vertical="center" wrapText="1"/>
    </xf>
    <xf numFmtId="17" fontId="5" fillId="3" borderId="13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 wrapText="1"/>
    </xf>
    <xf numFmtId="9" fontId="2" fillId="0" borderId="14" xfId="1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9" fontId="2" fillId="0" borderId="31" xfId="1" applyFont="1" applyBorder="1" applyAlignment="1">
      <alignment horizontal="center" vertical="center" wrapText="1"/>
    </xf>
    <xf numFmtId="0" fontId="0" fillId="0" borderId="36" xfId="0" quotePrefix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13189</xdr:colOff>
      <xdr:row>0</xdr:row>
      <xdr:rowOff>4983</xdr:rowOff>
    </xdr:from>
    <xdr:to>
      <xdr:col>1</xdr:col>
      <xdr:colOff>1906758</xdr:colOff>
      <xdr:row>4</xdr:row>
      <xdr:rowOff>169399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ED42266-A3DB-4FAB-9BE1-D9BF67087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8949" y="4983"/>
          <a:ext cx="1893569" cy="10008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A74FB-AF64-4DF1-9F63-F96A1AEF3046}">
  <dimension ref="A1:AR23"/>
  <sheetViews>
    <sheetView tabSelected="1" workbookViewId="0">
      <selection activeCell="C25" sqref="C25"/>
    </sheetView>
  </sheetViews>
  <sheetFormatPr baseColWidth="10" defaultRowHeight="14.4" x14ac:dyDescent="0.3"/>
  <cols>
    <col min="1" max="1" width="5.21875" customWidth="1"/>
    <col min="2" max="2" width="29.88671875" customWidth="1"/>
    <col min="3" max="3" width="44.5546875" customWidth="1"/>
    <col min="4" max="4" width="11.33203125" customWidth="1"/>
  </cols>
  <sheetData>
    <row r="1" spans="1:44" ht="15" thickBot="1" x14ac:dyDescent="0.35">
      <c r="A1" s="1"/>
      <c r="B1" s="1"/>
      <c r="C1" s="1"/>
      <c r="D1" s="1"/>
      <c r="E1" s="1"/>
      <c r="F1" s="1"/>
      <c r="G1" s="2"/>
      <c r="H1" s="1"/>
      <c r="I1" s="3"/>
      <c r="J1" s="1"/>
    </row>
    <row r="2" spans="1:44" ht="15.6" customHeight="1" x14ac:dyDescent="0.3">
      <c r="A2" s="1"/>
      <c r="B2" s="1"/>
      <c r="C2" s="43" t="s">
        <v>39</v>
      </c>
      <c r="D2" s="4"/>
      <c r="E2" s="4"/>
      <c r="F2" s="4"/>
      <c r="G2" s="5"/>
      <c r="H2" s="4"/>
      <c r="I2" s="3"/>
      <c r="J2" s="1"/>
    </row>
    <row r="3" spans="1:44" ht="15.6" x14ac:dyDescent="0.3">
      <c r="A3" s="1"/>
      <c r="B3" s="1"/>
      <c r="C3" s="44"/>
      <c r="D3" s="4"/>
      <c r="E3" s="4"/>
      <c r="F3" s="4"/>
      <c r="G3" s="5"/>
      <c r="H3" s="4"/>
      <c r="I3" s="3"/>
      <c r="J3" s="1"/>
    </row>
    <row r="4" spans="1:44" ht="18.600000000000001" thickBot="1" x14ac:dyDescent="0.35">
      <c r="A4" s="1"/>
      <c r="B4" s="1"/>
      <c r="C4" s="45"/>
      <c r="D4" s="6"/>
      <c r="E4" s="7"/>
      <c r="F4" s="7"/>
      <c r="G4" s="8"/>
      <c r="H4" s="7"/>
      <c r="I4" s="7"/>
      <c r="J4" s="7"/>
    </row>
    <row r="5" spans="1:44" x14ac:dyDescent="0.3">
      <c r="A5" s="1"/>
      <c r="B5" s="1"/>
      <c r="C5" s="1"/>
      <c r="D5" s="1"/>
      <c r="E5" s="1"/>
      <c r="F5" s="1"/>
      <c r="G5" s="2"/>
      <c r="H5" s="1"/>
      <c r="I5" s="3"/>
      <c r="J5" s="1"/>
    </row>
    <row r="6" spans="1:44" ht="16.649999999999999" customHeight="1" thickBot="1" x14ac:dyDescent="0.35">
      <c r="A6" s="1"/>
      <c r="B6" s="1"/>
      <c r="C6" s="1"/>
      <c r="D6" s="1"/>
      <c r="E6" s="1"/>
      <c r="F6" s="1"/>
      <c r="G6" s="2"/>
      <c r="H6" s="1"/>
      <c r="I6" s="3"/>
      <c r="J6" s="1"/>
    </row>
    <row r="7" spans="1:44" ht="16.649999999999999" customHeight="1" thickBot="1" x14ac:dyDescent="0.35">
      <c r="A7" s="3"/>
      <c r="B7" s="48" t="s">
        <v>0</v>
      </c>
      <c r="C7" s="58"/>
      <c r="D7" s="60" t="s">
        <v>1</v>
      </c>
      <c r="E7" s="61"/>
      <c r="F7" s="61"/>
      <c r="G7" s="61"/>
      <c r="H7" s="62"/>
      <c r="I7" s="60" t="s">
        <v>2</v>
      </c>
      <c r="J7" s="62"/>
      <c r="K7" s="41">
        <v>46155</v>
      </c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2"/>
      <c r="AA7" s="40">
        <v>46174</v>
      </c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</row>
    <row r="8" spans="1:44" ht="16.2" customHeight="1" thickBot="1" x14ac:dyDescent="0.35">
      <c r="A8" s="3"/>
      <c r="B8" s="49"/>
      <c r="C8" s="59"/>
      <c r="D8" s="63"/>
      <c r="E8" s="64"/>
      <c r="F8" s="64"/>
      <c r="G8" s="64"/>
      <c r="H8" s="65"/>
      <c r="I8" s="63"/>
      <c r="J8" s="65"/>
      <c r="K8" s="38"/>
      <c r="L8" s="38"/>
      <c r="M8" s="38"/>
      <c r="N8" s="39"/>
      <c r="O8" s="37" t="s">
        <v>32</v>
      </c>
      <c r="P8" s="38"/>
      <c r="Q8" s="38"/>
      <c r="R8" s="38"/>
      <c r="S8" s="38"/>
      <c r="T8" s="39"/>
      <c r="U8" s="37" t="s">
        <v>28</v>
      </c>
      <c r="V8" s="38"/>
      <c r="W8" s="38"/>
      <c r="X8" s="38"/>
      <c r="Y8" s="38"/>
      <c r="Z8" s="39"/>
      <c r="AA8" s="37" t="s">
        <v>29</v>
      </c>
      <c r="AB8" s="38"/>
      <c r="AC8" s="38"/>
      <c r="AD8" s="38"/>
      <c r="AE8" s="38"/>
      <c r="AF8" s="39"/>
      <c r="AG8" s="37" t="s">
        <v>30</v>
      </c>
      <c r="AH8" s="38"/>
      <c r="AI8" s="38"/>
      <c r="AJ8" s="38"/>
      <c r="AK8" s="38"/>
      <c r="AL8" s="39"/>
      <c r="AM8" s="37" t="s">
        <v>31</v>
      </c>
      <c r="AN8" s="38"/>
      <c r="AO8" s="38"/>
      <c r="AP8" s="35"/>
      <c r="AQ8" s="36"/>
      <c r="AR8" s="36"/>
    </row>
    <row r="9" spans="1:44" ht="16.2" thickBot="1" x14ac:dyDescent="0.35">
      <c r="A9" s="3"/>
      <c r="B9" s="54" t="s">
        <v>3</v>
      </c>
      <c r="C9" s="54" t="s">
        <v>4</v>
      </c>
      <c r="D9" s="43" t="s">
        <v>5</v>
      </c>
      <c r="E9" s="43" t="s">
        <v>6</v>
      </c>
      <c r="F9" s="43" t="s">
        <v>7</v>
      </c>
      <c r="G9" s="56" t="s">
        <v>8</v>
      </c>
      <c r="H9" s="43" t="s">
        <v>9</v>
      </c>
      <c r="I9" s="50" t="s">
        <v>10</v>
      </c>
      <c r="J9" s="52" t="s">
        <v>11</v>
      </c>
      <c r="K9" s="9" t="s">
        <v>33</v>
      </c>
      <c r="L9" s="9" t="s">
        <v>14</v>
      </c>
      <c r="M9" s="9" t="s">
        <v>15</v>
      </c>
      <c r="N9" s="9" t="s">
        <v>16</v>
      </c>
      <c r="O9" s="28" t="s">
        <v>12</v>
      </c>
      <c r="P9" s="9" t="s">
        <v>13</v>
      </c>
      <c r="Q9" s="9" t="s">
        <v>33</v>
      </c>
      <c r="R9" s="9" t="s">
        <v>14</v>
      </c>
      <c r="S9" s="9" t="s">
        <v>15</v>
      </c>
      <c r="T9" s="9" t="s">
        <v>16</v>
      </c>
      <c r="U9" s="28" t="s">
        <v>12</v>
      </c>
      <c r="V9" s="9" t="s">
        <v>13</v>
      </c>
      <c r="W9" s="9" t="s">
        <v>33</v>
      </c>
      <c r="X9" s="9" t="s">
        <v>14</v>
      </c>
      <c r="Y9" s="9" t="s">
        <v>15</v>
      </c>
      <c r="Z9" s="9" t="s">
        <v>16</v>
      </c>
      <c r="AA9" s="28" t="s">
        <v>12</v>
      </c>
      <c r="AB9" s="9" t="s">
        <v>13</v>
      </c>
      <c r="AC9" s="9" t="s">
        <v>33</v>
      </c>
      <c r="AD9" s="9" t="s">
        <v>14</v>
      </c>
      <c r="AE9" s="9" t="s">
        <v>15</v>
      </c>
      <c r="AF9" s="9" t="s">
        <v>16</v>
      </c>
      <c r="AG9" s="28" t="s">
        <v>12</v>
      </c>
      <c r="AH9" s="9" t="s">
        <v>13</v>
      </c>
      <c r="AI9" s="9" t="s">
        <v>33</v>
      </c>
      <c r="AJ9" s="9" t="s">
        <v>14</v>
      </c>
      <c r="AK9" s="9" t="s">
        <v>15</v>
      </c>
      <c r="AL9" s="9" t="s">
        <v>16</v>
      </c>
      <c r="AM9" s="28" t="s">
        <v>12</v>
      </c>
      <c r="AN9" s="9" t="s">
        <v>13</v>
      </c>
      <c r="AO9" s="9" t="s">
        <v>33</v>
      </c>
    </row>
    <row r="10" spans="1:44" ht="16.649999999999999" customHeight="1" thickBot="1" x14ac:dyDescent="0.35">
      <c r="A10" s="3"/>
      <c r="B10" s="55"/>
      <c r="C10" s="55"/>
      <c r="D10" s="45"/>
      <c r="E10" s="45"/>
      <c r="F10" s="45"/>
      <c r="G10" s="57"/>
      <c r="H10" s="45"/>
      <c r="I10" s="51"/>
      <c r="J10" s="53"/>
      <c r="K10" s="31">
        <v>13</v>
      </c>
      <c r="L10" s="31">
        <v>14</v>
      </c>
      <c r="M10" s="31">
        <v>15</v>
      </c>
      <c r="N10" s="31">
        <v>16</v>
      </c>
      <c r="O10" s="32">
        <v>18</v>
      </c>
      <c r="P10" s="31">
        <v>19</v>
      </c>
      <c r="Q10" s="31">
        <v>20</v>
      </c>
      <c r="R10" s="31">
        <v>21</v>
      </c>
      <c r="S10" s="31">
        <v>22</v>
      </c>
      <c r="T10" s="31">
        <v>23</v>
      </c>
      <c r="U10" s="32">
        <v>25</v>
      </c>
      <c r="V10" s="31">
        <v>26</v>
      </c>
      <c r="W10" s="31">
        <v>27</v>
      </c>
      <c r="X10" s="31">
        <v>28</v>
      </c>
      <c r="Y10" s="31">
        <v>29</v>
      </c>
      <c r="Z10" s="31">
        <v>30</v>
      </c>
      <c r="AA10" s="32">
        <v>1</v>
      </c>
      <c r="AB10" s="31">
        <v>2</v>
      </c>
      <c r="AC10" s="31">
        <v>3</v>
      </c>
      <c r="AD10" s="31">
        <v>4</v>
      </c>
      <c r="AE10" s="31">
        <v>5</v>
      </c>
      <c r="AF10" s="31">
        <v>6</v>
      </c>
      <c r="AG10" s="32">
        <v>7</v>
      </c>
      <c r="AH10" s="31">
        <v>8</v>
      </c>
      <c r="AI10" s="31">
        <v>9</v>
      </c>
      <c r="AJ10" s="31">
        <v>10</v>
      </c>
      <c r="AK10" s="31">
        <v>11</v>
      </c>
      <c r="AL10" s="31">
        <v>12</v>
      </c>
      <c r="AM10" s="32">
        <v>13</v>
      </c>
      <c r="AN10" s="31">
        <v>14</v>
      </c>
      <c r="AO10" s="31">
        <v>15</v>
      </c>
    </row>
    <row r="11" spans="1:44" ht="16.05" customHeight="1" x14ac:dyDescent="0.3">
      <c r="A11" s="3"/>
      <c r="B11" s="46" t="s">
        <v>40</v>
      </c>
      <c r="C11" s="26" t="s">
        <v>36</v>
      </c>
      <c r="D11" s="24" t="s">
        <v>18</v>
      </c>
      <c r="E11" s="16">
        <v>1</v>
      </c>
      <c r="F11" s="16">
        <v>0</v>
      </c>
      <c r="G11" s="19">
        <f t="shared" ref="G11:G16" si="0">F11/E11</f>
        <v>0</v>
      </c>
      <c r="H11" s="21"/>
      <c r="I11" s="27">
        <v>3</v>
      </c>
      <c r="J11" s="66" t="s">
        <v>38</v>
      </c>
      <c r="K11" s="34"/>
      <c r="L11" s="34"/>
      <c r="M11" s="34"/>
      <c r="N11" s="29"/>
      <c r="O11" s="29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</row>
    <row r="12" spans="1:44" ht="16.05" customHeight="1" x14ac:dyDescent="0.3">
      <c r="A12" s="3"/>
      <c r="B12" s="46"/>
      <c r="C12" s="17" t="s">
        <v>23</v>
      </c>
      <c r="D12" s="15" t="s">
        <v>18</v>
      </c>
      <c r="E12" s="16">
        <v>121</v>
      </c>
      <c r="F12" s="16">
        <v>0</v>
      </c>
      <c r="G12" s="19">
        <f t="shared" si="0"/>
        <v>0</v>
      </c>
      <c r="H12" s="21">
        <f t="shared" ref="H12:H16" si="1">E12-F12</f>
        <v>121</v>
      </c>
      <c r="I12" s="27">
        <v>3</v>
      </c>
      <c r="J12" s="66"/>
      <c r="K12" s="29"/>
      <c r="L12" s="29"/>
      <c r="M12" s="29"/>
      <c r="N12" s="34"/>
      <c r="O12" s="34"/>
      <c r="P12" s="34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</row>
    <row r="13" spans="1:44" ht="16.05" customHeight="1" x14ac:dyDescent="0.3">
      <c r="A13" s="3"/>
      <c r="B13" s="46"/>
      <c r="C13" s="17" t="s">
        <v>35</v>
      </c>
      <c r="D13" s="15" t="s">
        <v>18</v>
      </c>
      <c r="E13" s="16">
        <v>121</v>
      </c>
      <c r="F13" s="16">
        <v>0</v>
      </c>
      <c r="G13" s="19">
        <f t="shared" si="0"/>
        <v>0</v>
      </c>
      <c r="H13" s="21">
        <f t="shared" si="1"/>
        <v>121</v>
      </c>
      <c r="I13" s="27">
        <v>1</v>
      </c>
      <c r="J13" s="66"/>
      <c r="K13" s="29"/>
      <c r="L13" s="29"/>
      <c r="M13" s="29"/>
      <c r="N13" s="29"/>
      <c r="O13" s="29"/>
      <c r="P13" s="29"/>
      <c r="Q13" s="34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</row>
    <row r="14" spans="1:44" ht="16.05" customHeight="1" x14ac:dyDescent="0.3">
      <c r="A14" s="3"/>
      <c r="B14" s="46"/>
      <c r="C14" s="17" t="s">
        <v>24</v>
      </c>
      <c r="D14" s="15" t="s">
        <v>18</v>
      </c>
      <c r="E14" s="16">
        <v>121</v>
      </c>
      <c r="F14" s="16">
        <v>0</v>
      </c>
      <c r="G14" s="19">
        <f t="shared" si="0"/>
        <v>0</v>
      </c>
      <c r="H14" s="21">
        <f t="shared" si="1"/>
        <v>121</v>
      </c>
      <c r="I14" s="30">
        <v>5</v>
      </c>
      <c r="J14" s="66"/>
      <c r="K14" s="29"/>
      <c r="L14" s="29"/>
      <c r="M14" s="29"/>
      <c r="N14" s="29"/>
      <c r="O14" s="29"/>
      <c r="P14" s="29"/>
      <c r="Q14" s="29"/>
      <c r="R14" s="34"/>
      <c r="S14" s="34"/>
      <c r="T14" s="34"/>
      <c r="U14" s="34"/>
      <c r="V14" s="34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</row>
    <row r="15" spans="1:44" ht="16.05" customHeight="1" x14ac:dyDescent="0.3">
      <c r="A15" s="3"/>
      <c r="B15" s="46"/>
      <c r="C15" s="17" t="s">
        <v>34</v>
      </c>
      <c r="D15" s="15" t="s">
        <v>18</v>
      </c>
      <c r="E15" s="16">
        <v>121</v>
      </c>
      <c r="F15" s="16">
        <v>0</v>
      </c>
      <c r="G15" s="19">
        <f t="shared" si="0"/>
        <v>0</v>
      </c>
      <c r="H15" s="21">
        <f t="shared" si="1"/>
        <v>121</v>
      </c>
      <c r="I15" s="27">
        <v>2</v>
      </c>
      <c r="J15" s="66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34"/>
      <c r="X15" s="34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</row>
    <row r="16" spans="1:44" ht="16.05" customHeight="1" x14ac:dyDescent="0.3">
      <c r="A16" s="3"/>
      <c r="B16" s="46"/>
      <c r="C16" s="17" t="s">
        <v>22</v>
      </c>
      <c r="D16" s="15" t="s">
        <v>18</v>
      </c>
      <c r="E16" s="16">
        <v>121</v>
      </c>
      <c r="F16" s="16">
        <v>0</v>
      </c>
      <c r="G16" s="19">
        <f t="shared" si="0"/>
        <v>0</v>
      </c>
      <c r="H16" s="21">
        <f t="shared" si="1"/>
        <v>121</v>
      </c>
      <c r="I16" s="27">
        <v>3</v>
      </c>
      <c r="J16" s="66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34"/>
      <c r="Z16" s="34"/>
      <c r="AA16" s="34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</row>
    <row r="17" spans="1:41" ht="15.6" x14ac:dyDescent="0.3">
      <c r="A17" s="3"/>
      <c r="B17" s="46"/>
      <c r="C17" s="17" t="s">
        <v>20</v>
      </c>
      <c r="D17" s="15" t="s">
        <v>18</v>
      </c>
      <c r="E17" s="16">
        <v>121</v>
      </c>
      <c r="F17" s="16">
        <v>0</v>
      </c>
      <c r="G17" s="19">
        <f t="shared" ref="G17" si="2">F17/E17</f>
        <v>0</v>
      </c>
      <c r="H17" s="21">
        <f t="shared" ref="H17" si="3">E17-F17</f>
        <v>121</v>
      </c>
      <c r="I17" s="27">
        <v>3</v>
      </c>
      <c r="J17" s="66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34"/>
      <c r="AC17" s="34"/>
      <c r="AD17" s="34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</row>
    <row r="18" spans="1:41" ht="15.6" x14ac:dyDescent="0.3">
      <c r="A18" s="3"/>
      <c r="B18" s="46"/>
      <c r="C18" s="22" t="s">
        <v>26</v>
      </c>
      <c r="D18" s="15" t="s">
        <v>25</v>
      </c>
      <c r="E18" s="23">
        <v>16377</v>
      </c>
      <c r="F18" s="16">
        <v>0</v>
      </c>
      <c r="G18" s="19">
        <f>F18/E18</f>
        <v>0</v>
      </c>
      <c r="H18" s="21">
        <f>E18-F18</f>
        <v>16377</v>
      </c>
      <c r="I18" s="27">
        <v>4</v>
      </c>
      <c r="J18" s="66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34"/>
      <c r="AF18" s="34"/>
      <c r="AG18" s="34"/>
      <c r="AH18" s="34"/>
      <c r="AI18" s="29"/>
      <c r="AJ18" s="29"/>
      <c r="AK18" s="29"/>
      <c r="AL18" s="29"/>
      <c r="AM18" s="29"/>
      <c r="AN18" s="29"/>
      <c r="AO18" s="29"/>
    </row>
    <row r="19" spans="1:41" ht="15.6" x14ac:dyDescent="0.3">
      <c r="A19" s="3"/>
      <c r="B19" s="46"/>
      <c r="C19" s="22" t="s">
        <v>27</v>
      </c>
      <c r="D19" s="15" t="s">
        <v>25</v>
      </c>
      <c r="E19" s="10">
        <v>4200</v>
      </c>
      <c r="F19" s="23">
        <v>0</v>
      </c>
      <c r="G19" s="19">
        <f>F19/E19</f>
        <v>0</v>
      </c>
      <c r="H19" s="21">
        <f>E19-F19</f>
        <v>4200</v>
      </c>
      <c r="I19" s="27">
        <v>3</v>
      </c>
      <c r="J19" s="66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34"/>
      <c r="AJ19" s="34"/>
      <c r="AK19" s="34"/>
      <c r="AL19" s="29"/>
      <c r="AM19" s="29"/>
      <c r="AN19" s="29"/>
      <c r="AO19" s="29"/>
    </row>
    <row r="20" spans="1:41" ht="15.6" x14ac:dyDescent="0.3">
      <c r="A20" s="3"/>
      <c r="B20" s="46"/>
      <c r="C20" s="22" t="s">
        <v>37</v>
      </c>
      <c r="D20" s="68" t="s">
        <v>18</v>
      </c>
      <c r="E20" s="69">
        <v>1</v>
      </c>
      <c r="F20" s="23">
        <v>0</v>
      </c>
      <c r="G20" s="70">
        <f>F20/E20</f>
        <v>0</v>
      </c>
      <c r="H20" s="21">
        <f>E20-F20</f>
        <v>1</v>
      </c>
      <c r="I20" s="71">
        <v>2</v>
      </c>
      <c r="J20" s="66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4"/>
      <c r="AM20" s="34"/>
      <c r="AN20" s="33"/>
      <c r="AO20" s="33"/>
    </row>
    <row r="21" spans="1:41" ht="16.2" thickBot="1" x14ac:dyDescent="0.35">
      <c r="A21" s="1"/>
      <c r="B21" s="47"/>
      <c r="C21" s="20" t="s">
        <v>21</v>
      </c>
      <c r="D21" s="25" t="s">
        <v>17</v>
      </c>
      <c r="E21" s="18">
        <v>121</v>
      </c>
      <c r="F21" s="11">
        <v>0</v>
      </c>
      <c r="G21" s="12">
        <f t="shared" ref="G21" si="4">F21/E21</f>
        <v>0</v>
      </c>
      <c r="H21" s="13">
        <f t="shared" ref="H21" si="5">E21-F21</f>
        <v>121</v>
      </c>
      <c r="I21" s="14">
        <v>2</v>
      </c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4"/>
      <c r="AO21" s="34"/>
    </row>
    <row r="22" spans="1:41" x14ac:dyDescent="0.3">
      <c r="I22">
        <f>SUM(I11:I21)</f>
        <v>31</v>
      </c>
    </row>
    <row r="23" spans="1:41" x14ac:dyDescent="0.3">
      <c r="H23" t="s">
        <v>19</v>
      </c>
    </row>
  </sheetData>
  <mergeCells count="23">
    <mergeCell ref="J9:J10"/>
    <mergeCell ref="C2:C4"/>
    <mergeCell ref="B11:B21"/>
    <mergeCell ref="J11:J21"/>
    <mergeCell ref="B7:C8"/>
    <mergeCell ref="D7:H8"/>
    <mergeCell ref="I7:J8"/>
    <mergeCell ref="B9:B10"/>
    <mergeCell ref="C9:C10"/>
    <mergeCell ref="D9:D10"/>
    <mergeCell ref="E9:E10"/>
    <mergeCell ref="F9:F10"/>
    <mergeCell ref="G9:G10"/>
    <mergeCell ref="H9:H10"/>
    <mergeCell ref="I9:I10"/>
    <mergeCell ref="K7:Z7"/>
    <mergeCell ref="K8:N8"/>
    <mergeCell ref="O8:T8"/>
    <mergeCell ref="U8:Z8"/>
    <mergeCell ref="AA8:AF8"/>
    <mergeCell ref="AG8:AL8"/>
    <mergeCell ref="AM8:AO8"/>
    <mergeCell ref="AA7:AO7"/>
  </mergeCells>
  <phoneticPr fontId="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OULOTO-ZREBLI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HUB-SA</dc:creator>
  <cp:lastModifiedBy>Koffi Lionel Klutsé</cp:lastModifiedBy>
  <cp:lastPrinted>2025-05-07T15:09:31Z</cp:lastPrinted>
  <dcterms:created xsi:type="dcterms:W3CDTF">2025-02-23T18:42:30Z</dcterms:created>
  <dcterms:modified xsi:type="dcterms:W3CDTF">2026-05-13T10:16:31Z</dcterms:modified>
</cp:coreProperties>
</file>