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CE4C080-CE24-486D-BE7E-8159AB655875}" xr6:coauthVersionLast="47" xr6:coauthVersionMax="47" xr10:uidLastSave="{00000000-0000-0000-0000-000000000000}"/>
  <bookViews>
    <workbookView xWindow="6150" yWindow="825" windowWidth="14295" windowHeight="10005" firstSheet="1" activeTab="2" xr2:uid="{00000000-000D-0000-FFFF-FFFF00000000}"/>
  </bookViews>
  <sheets>
    <sheet name="Réalisation 2022" sheetId="2" r:id="rId1"/>
    <sheet name="Réalisation MTN 2023" sheetId="3" r:id="rId2"/>
    <sheet name="Réalisation OCI 2023" sheetId="4" r:id="rId3"/>
    <sheet name="Rapport de Présenc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12" i="4" l="1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X12" i="4"/>
  <c r="CY12" i="4"/>
  <c r="CZ12" i="4"/>
  <c r="DA12" i="4"/>
  <c r="DB12" i="4"/>
  <c r="DC12" i="4"/>
  <c r="DD12" i="4"/>
  <c r="DE12" i="4"/>
  <c r="DF12" i="4"/>
  <c r="DG12" i="4"/>
  <c r="DH12" i="4"/>
  <c r="DI12" i="4"/>
  <c r="DJ12" i="4"/>
  <c r="DK12" i="4"/>
  <c r="DL12" i="4"/>
  <c r="DM12" i="4"/>
  <c r="DN12" i="4"/>
  <c r="DO12" i="4"/>
  <c r="DP12" i="4"/>
  <c r="DQ12" i="4"/>
  <c r="DR12" i="4"/>
  <c r="DS12" i="4"/>
  <c r="DT12" i="4"/>
  <c r="DU12" i="4"/>
  <c r="DV12" i="4"/>
  <c r="DW12" i="4"/>
  <c r="DX12" i="4"/>
  <c r="DY12" i="4"/>
  <c r="DZ12" i="4"/>
  <c r="EA12" i="4"/>
  <c r="EB12" i="4"/>
  <c r="EC12" i="4"/>
  <c r="ED12" i="4"/>
  <c r="EE12" i="4"/>
  <c r="EF12" i="4"/>
  <c r="EG12" i="4"/>
  <c r="EH12" i="4"/>
  <c r="EI12" i="4"/>
  <c r="EJ12" i="4"/>
  <c r="EK12" i="4"/>
  <c r="EL12" i="4"/>
  <c r="EM12" i="4"/>
  <c r="EN12" i="4"/>
  <c r="EO12" i="4"/>
  <c r="EP12" i="4"/>
  <c r="EQ12" i="4"/>
  <c r="ER12" i="4"/>
  <c r="ES12" i="4"/>
  <c r="ET12" i="4"/>
  <c r="EU12" i="4"/>
  <c r="EV12" i="4"/>
  <c r="EW12" i="4"/>
  <c r="EX12" i="4"/>
  <c r="EY12" i="4"/>
  <c r="EZ12" i="4"/>
  <c r="FA12" i="4"/>
  <c r="FB12" i="4"/>
  <c r="FC12" i="4"/>
  <c r="FD12" i="4"/>
  <c r="FE12" i="4"/>
  <c r="FF12" i="4"/>
  <c r="FG12" i="4"/>
  <c r="FH12" i="4"/>
  <c r="FI12" i="4"/>
  <c r="FJ12" i="4"/>
  <c r="FK12" i="4"/>
  <c r="FL12" i="4"/>
  <c r="FM12" i="4"/>
  <c r="FN12" i="4"/>
  <c r="FO12" i="4"/>
  <c r="FP12" i="4"/>
  <c r="FQ12" i="4"/>
  <c r="FR12" i="4"/>
  <c r="FS12" i="4"/>
  <c r="FT12" i="4"/>
  <c r="FU12" i="4"/>
  <c r="FV12" i="4"/>
  <c r="FW12" i="4"/>
  <c r="FX12" i="4"/>
  <c r="FY12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X11" i="4"/>
  <c r="CY11" i="4"/>
  <c r="CZ11" i="4"/>
  <c r="DA11" i="4"/>
  <c r="DB11" i="4"/>
  <c r="DC11" i="4"/>
  <c r="DD11" i="4"/>
  <c r="DE11" i="4"/>
  <c r="DF11" i="4"/>
  <c r="DG11" i="4"/>
  <c r="DH11" i="4"/>
  <c r="DI11" i="4"/>
  <c r="DJ11" i="4"/>
  <c r="DK11" i="4"/>
  <c r="DL11" i="4"/>
  <c r="DM11" i="4"/>
  <c r="DN11" i="4"/>
  <c r="DO11" i="4"/>
  <c r="DP11" i="4"/>
  <c r="DQ11" i="4"/>
  <c r="DR11" i="4"/>
  <c r="DS11" i="4"/>
  <c r="DT11" i="4"/>
  <c r="DU11" i="4"/>
  <c r="DV11" i="4"/>
  <c r="DW11" i="4"/>
  <c r="DX11" i="4"/>
  <c r="DY11" i="4"/>
  <c r="DZ11" i="4"/>
  <c r="EA11" i="4"/>
  <c r="EB11" i="4"/>
  <c r="EC11" i="4"/>
  <c r="ED11" i="4"/>
  <c r="EE11" i="4"/>
  <c r="EF11" i="4"/>
  <c r="EG11" i="4"/>
  <c r="EH11" i="4"/>
  <c r="EI11" i="4"/>
  <c r="EJ11" i="4"/>
  <c r="EK11" i="4"/>
  <c r="EL11" i="4"/>
  <c r="EM11" i="4"/>
  <c r="EN11" i="4"/>
  <c r="EO11" i="4"/>
  <c r="EP11" i="4"/>
  <c r="EQ11" i="4"/>
  <c r="ER11" i="4"/>
  <c r="ES11" i="4"/>
  <c r="ET11" i="4"/>
  <c r="EU11" i="4"/>
  <c r="EV11" i="4"/>
  <c r="EW11" i="4"/>
  <c r="EX11" i="4"/>
  <c r="EY11" i="4"/>
  <c r="EZ11" i="4"/>
  <c r="FA11" i="4"/>
  <c r="FB11" i="4"/>
  <c r="FC11" i="4"/>
  <c r="FD11" i="4"/>
  <c r="FE11" i="4"/>
  <c r="FF11" i="4"/>
  <c r="FG11" i="4"/>
  <c r="FH11" i="4"/>
  <c r="FI11" i="4"/>
  <c r="FJ11" i="4"/>
  <c r="FK11" i="4"/>
  <c r="FL11" i="4"/>
  <c r="FM11" i="4"/>
  <c r="FN11" i="4"/>
  <c r="FO11" i="4"/>
  <c r="FP11" i="4"/>
  <c r="FQ11" i="4"/>
  <c r="FR11" i="4"/>
  <c r="FS11" i="4"/>
  <c r="FT11" i="4"/>
  <c r="FU11" i="4"/>
  <c r="FV11" i="4"/>
  <c r="FW11" i="4"/>
  <c r="FX11" i="4"/>
  <c r="FY11" i="4"/>
  <c r="HF12" i="3"/>
  <c r="HE12" i="3"/>
  <c r="HB12" i="3"/>
  <c r="HA12" i="3"/>
  <c r="HG11" i="3"/>
  <c r="HF11" i="3"/>
  <c r="HE11" i="3"/>
  <c r="HD11" i="3"/>
  <c r="HD12" i="3" s="1"/>
  <c r="HC11" i="3"/>
  <c r="HC12" i="3" s="1"/>
  <c r="HB11" i="3"/>
  <c r="HA11" i="3"/>
  <c r="GY12" i="3"/>
  <c r="GT12" i="3"/>
  <c r="GZ11" i="3"/>
  <c r="GY11" i="3"/>
  <c r="GX11" i="3"/>
  <c r="GX12" i="3" s="1"/>
  <c r="GW11" i="3"/>
  <c r="GW12" i="3" s="1"/>
  <c r="GV11" i="3"/>
  <c r="GV12" i="3" s="1"/>
  <c r="GU11" i="3"/>
  <c r="GU12" i="3" s="1"/>
  <c r="GT11" i="3"/>
  <c r="GN12" i="3"/>
  <c r="GM12" i="3"/>
  <c r="GS11" i="3"/>
  <c r="GR11" i="3"/>
  <c r="GR12" i="3" s="1"/>
  <c r="GQ11" i="3"/>
  <c r="GQ12" i="3" s="1"/>
  <c r="GP11" i="3"/>
  <c r="GP12" i="3" s="1"/>
  <c r="GO11" i="3"/>
  <c r="GO12" i="3" s="1"/>
  <c r="GN11" i="3"/>
  <c r="GM11" i="3"/>
  <c r="GK12" i="3"/>
  <c r="GJ12" i="3"/>
  <c r="GG12" i="3"/>
  <c r="GF12" i="3"/>
  <c r="GL11" i="3"/>
  <c r="GK11" i="3"/>
  <c r="GJ11" i="3"/>
  <c r="GI11" i="3"/>
  <c r="GI12" i="3" s="1"/>
  <c r="GH11" i="3"/>
  <c r="GH12" i="3" s="1"/>
  <c r="GG11" i="3"/>
  <c r="GF11" i="3"/>
  <c r="GD12" i="3"/>
  <c r="GC12" i="3"/>
  <c r="GB12" i="3"/>
  <c r="FY12" i="3"/>
  <c r="GE11" i="3"/>
  <c r="GD11" i="3"/>
  <c r="GC11" i="3"/>
  <c r="GB11" i="3"/>
  <c r="GA11" i="3"/>
  <c r="GA12" i="3" s="1"/>
  <c r="FZ11" i="3"/>
  <c r="FZ12" i="3" s="1"/>
  <c r="FY11" i="3"/>
  <c r="FW12" i="3"/>
  <c r="FV12" i="3"/>
  <c r="FU12" i="3"/>
  <c r="FR12" i="3"/>
  <c r="FX11" i="3"/>
  <c r="FW11" i="3"/>
  <c r="FV11" i="3"/>
  <c r="FU11" i="3"/>
  <c r="FT11" i="3"/>
  <c r="FT12" i="3" s="1"/>
  <c r="FS11" i="3"/>
  <c r="FS12" i="3" s="1"/>
  <c r="FR11" i="3"/>
  <c r="FP12" i="3"/>
  <c r="FM12" i="3"/>
  <c r="FQ11" i="3"/>
  <c r="FP11" i="3"/>
  <c r="FO11" i="3"/>
  <c r="FO12" i="3" s="1"/>
  <c r="FN11" i="3"/>
  <c r="FN12" i="3" s="1"/>
  <c r="FM11" i="3"/>
  <c r="FL11" i="3"/>
  <c r="FL12" i="3" s="1"/>
  <c r="FK11" i="3"/>
  <c r="FK12" i="3" s="1"/>
  <c r="FI12" i="3"/>
  <c r="FG12" i="3"/>
  <c r="FD12" i="3"/>
  <c r="FJ11" i="3"/>
  <c r="FI11" i="3"/>
  <c r="FH11" i="3"/>
  <c r="FH12" i="3" s="1"/>
  <c r="FG11" i="3"/>
  <c r="FF11" i="3"/>
  <c r="FF12" i="3" s="1"/>
  <c r="FE11" i="3"/>
  <c r="FE12" i="3" s="1"/>
  <c r="FD11" i="3"/>
  <c r="EW12" i="3"/>
  <c r="FC11" i="3"/>
  <c r="FB11" i="3"/>
  <c r="FB12" i="3" s="1"/>
  <c r="FA11" i="3"/>
  <c r="FA12" i="3" s="1"/>
  <c r="EZ11" i="3"/>
  <c r="EZ12" i="3" s="1"/>
  <c r="EY11" i="3"/>
  <c r="EY12" i="3" s="1"/>
  <c r="EX11" i="3"/>
  <c r="EX12" i="3" s="1"/>
  <c r="EW11" i="3"/>
  <c r="EU12" i="3"/>
  <c r="ES12" i="3"/>
  <c r="EP12" i="3"/>
  <c r="EV11" i="3"/>
  <c r="EU11" i="3"/>
  <c r="ET11" i="3"/>
  <c r="ET12" i="3" s="1"/>
  <c r="ES11" i="3"/>
  <c r="ER11" i="3"/>
  <c r="ER12" i="3" s="1"/>
  <c r="EQ11" i="3"/>
  <c r="EQ12" i="3" s="1"/>
  <c r="EP11" i="3"/>
  <c r="EN12" i="3"/>
  <c r="EJ12" i="3"/>
  <c r="EI12" i="3"/>
  <c r="EO11" i="3"/>
  <c r="EN11" i="3"/>
  <c r="EM11" i="3"/>
  <c r="EM12" i="3" s="1"/>
  <c r="EL11" i="3"/>
  <c r="EL12" i="3" s="1"/>
  <c r="EK11" i="3"/>
  <c r="EK12" i="3" s="1"/>
  <c r="EJ11" i="3"/>
  <c r="EI11" i="3"/>
  <c r="EG12" i="3"/>
  <c r="EF12" i="3"/>
  <c r="EC12" i="3"/>
  <c r="EB12" i="3"/>
  <c r="EH11" i="3"/>
  <c r="EG11" i="3"/>
  <c r="EF11" i="3"/>
  <c r="EE11" i="3"/>
  <c r="EE12" i="3" s="1"/>
  <c r="ED11" i="3"/>
  <c r="ED12" i="3" s="1"/>
  <c r="EC11" i="3"/>
  <c r="EB11" i="3"/>
  <c r="DY12" i="3"/>
  <c r="DV12" i="3"/>
  <c r="EA11" i="3"/>
  <c r="DZ11" i="3"/>
  <c r="DZ12" i="3" s="1"/>
  <c r="DY11" i="3"/>
  <c r="DX11" i="3"/>
  <c r="DX12" i="3" s="1"/>
  <c r="DW11" i="3"/>
  <c r="DW12" i="3" s="1"/>
  <c r="DV11" i="3"/>
  <c r="DU11" i="3"/>
  <c r="DU12" i="3" s="1"/>
  <c r="DS12" i="3"/>
  <c r="DR12" i="3"/>
  <c r="DQ12" i="3"/>
  <c r="DP12" i="3"/>
  <c r="DT11" i="3"/>
  <c r="DS11" i="3"/>
  <c r="DR11" i="3"/>
  <c r="DQ11" i="3"/>
  <c r="DP11" i="3"/>
  <c r="DO11" i="3"/>
  <c r="DO12" i="3" s="1"/>
  <c r="DN11" i="3"/>
  <c r="DN12" i="3" s="1"/>
  <c r="DL12" i="3"/>
  <c r="DJ12" i="3"/>
  <c r="DG12" i="3"/>
  <c r="DM11" i="3"/>
  <c r="DL11" i="3"/>
  <c r="DK11" i="3"/>
  <c r="DK12" i="3" s="1"/>
  <c r="DJ11" i="3"/>
  <c r="DI11" i="3"/>
  <c r="DI12" i="3" s="1"/>
  <c r="DH11" i="3"/>
  <c r="DH12" i="3" s="1"/>
  <c r="DG11" i="3"/>
  <c r="DE12" i="3"/>
  <c r="DD12" i="3"/>
  <c r="DA12" i="3"/>
  <c r="CZ12" i="3"/>
  <c r="DF11" i="3"/>
  <c r="DE11" i="3"/>
  <c r="DD11" i="3"/>
  <c r="DC11" i="3"/>
  <c r="DC12" i="3" s="1"/>
  <c r="DB11" i="3"/>
  <c r="DB12" i="3" s="1"/>
  <c r="DA11" i="3"/>
  <c r="CZ11" i="3"/>
  <c r="CX12" i="3"/>
  <c r="CW12" i="3"/>
  <c r="CV12" i="3"/>
  <c r="CT12" i="3"/>
  <c r="CY11" i="3"/>
  <c r="CX11" i="3"/>
  <c r="CW11" i="3"/>
  <c r="CV11" i="3"/>
  <c r="CU11" i="3"/>
  <c r="CU12" i="3" s="1"/>
  <c r="CT11" i="3"/>
  <c r="CS11" i="3"/>
  <c r="CS12" i="3" s="1"/>
  <c r="D11" i="3"/>
  <c r="D7" i="3"/>
  <c r="D8" i="3"/>
  <c r="D9" i="3"/>
  <c r="D10" i="3"/>
  <c r="D6" i="3"/>
  <c r="D5" i="3"/>
  <c r="N11" i="3"/>
  <c r="N12" i="3" s="1"/>
  <c r="E11" i="3"/>
  <c r="BL12" i="3" s="1"/>
  <c r="F11" i="3"/>
  <c r="G11" i="3"/>
  <c r="H11" i="3"/>
  <c r="I11" i="3"/>
  <c r="J11" i="3"/>
  <c r="K11" i="3"/>
  <c r="L11" i="3"/>
  <c r="M11" i="3"/>
  <c r="O11" i="3"/>
  <c r="P11" i="3"/>
  <c r="Q11" i="3"/>
  <c r="Q12" i="3" s="1"/>
  <c r="R11" i="3"/>
  <c r="R12" i="3" s="1"/>
  <c r="S11" i="3"/>
  <c r="T11" i="3"/>
  <c r="T12" i="3" s="1"/>
  <c r="U11" i="3"/>
  <c r="V11" i="3"/>
  <c r="V12" i="3" s="1"/>
  <c r="W11" i="3"/>
  <c r="X11" i="3"/>
  <c r="Y11" i="3"/>
  <c r="Z11" i="3"/>
  <c r="AA11" i="3"/>
  <c r="AA12" i="3" s="1"/>
  <c r="AB11" i="3"/>
  <c r="AB12" i="3" s="1"/>
  <c r="AC11" i="3"/>
  <c r="AC12" i="3" s="1"/>
  <c r="AD11" i="3"/>
  <c r="AD12" i="3" s="1"/>
  <c r="AE11" i="3"/>
  <c r="AF11" i="3"/>
  <c r="AG11" i="3"/>
  <c r="AH11" i="3"/>
  <c r="AH12" i="3" s="1"/>
  <c r="AI11" i="3"/>
  <c r="AI12" i="3" s="1"/>
  <c r="AJ11" i="3"/>
  <c r="AJ12" i="3" s="1"/>
  <c r="AK11" i="3"/>
  <c r="AK12" i="3" s="1"/>
  <c r="AL11" i="3"/>
  <c r="AL12" i="3" s="1"/>
  <c r="AN11" i="3"/>
  <c r="AO11" i="3"/>
  <c r="AP11" i="3"/>
  <c r="AQ11" i="3"/>
  <c r="AQ12" i="3" s="1"/>
  <c r="AR11" i="3"/>
  <c r="AR12" i="3" s="1"/>
  <c r="AS11" i="3"/>
  <c r="AS12" i="3" s="1"/>
  <c r="AT11" i="3"/>
  <c r="AT12" i="3" s="1"/>
  <c r="AU11" i="3"/>
  <c r="AV11" i="3"/>
  <c r="AW11" i="3"/>
  <c r="AX11" i="3"/>
  <c r="AY11" i="3"/>
  <c r="AZ11" i="3"/>
  <c r="AZ12" i="3" s="1"/>
  <c r="BA11" i="3"/>
  <c r="BA12" i="3" s="1"/>
  <c r="BB11" i="3"/>
  <c r="BC11" i="3"/>
  <c r="BC12" i="3" s="1"/>
  <c r="BD11" i="3"/>
  <c r="BD12" i="3" s="1"/>
  <c r="BE11" i="3"/>
  <c r="BF11" i="3"/>
  <c r="BG11" i="3"/>
  <c r="BH11" i="3"/>
  <c r="BH12" i="3" s="1"/>
  <c r="BI11" i="3"/>
  <c r="BJ11" i="3"/>
  <c r="BJ12" i="3" s="1"/>
  <c r="BK11" i="3"/>
  <c r="BK12" i="3" s="1"/>
  <c r="BL11" i="3"/>
  <c r="BM11" i="3"/>
  <c r="BM12" i="3" s="1"/>
  <c r="BN11" i="3"/>
  <c r="BO11" i="3"/>
  <c r="BP11" i="3"/>
  <c r="BQ11" i="3"/>
  <c r="BQ12" i="3" s="1"/>
  <c r="BR11" i="3"/>
  <c r="BR12" i="3" s="1"/>
  <c r="BS11" i="3"/>
  <c r="BS12" i="3" s="1"/>
  <c r="BT11" i="3"/>
  <c r="BU11" i="3"/>
  <c r="BU12" i="3" s="1"/>
  <c r="BV11" i="3"/>
  <c r="BV12" i="3" s="1"/>
  <c r="BW11" i="3"/>
  <c r="BX11" i="3"/>
  <c r="BY11" i="3"/>
  <c r="BZ11" i="3"/>
  <c r="BZ12" i="3" s="1"/>
  <c r="CA11" i="3"/>
  <c r="CA12" i="3" s="1"/>
  <c r="CB11" i="3"/>
  <c r="CC11" i="3"/>
  <c r="CD11" i="3"/>
  <c r="CE11" i="3"/>
  <c r="CE12" i="3" s="1"/>
  <c r="CF11" i="3"/>
  <c r="CF12" i="3" s="1"/>
  <c r="CG11" i="3"/>
  <c r="CH11" i="3"/>
  <c r="CH12" i="3" s="1"/>
  <c r="CI11" i="3"/>
  <c r="CI12" i="3" s="1"/>
  <c r="CJ11" i="3"/>
  <c r="CJ12" i="3" s="1"/>
  <c r="CK11" i="3"/>
  <c r="CL11" i="3"/>
  <c r="CL12" i="3" s="1"/>
  <c r="CM11" i="3"/>
  <c r="CM12" i="3" s="1"/>
  <c r="CN11" i="3"/>
  <c r="CN12" i="3" s="1"/>
  <c r="CO11" i="3"/>
  <c r="CO12" i="3" s="1"/>
  <c r="CP11" i="3"/>
  <c r="CP12" i="3" s="1"/>
  <c r="CQ11" i="3"/>
  <c r="CQ12" i="3" s="1"/>
  <c r="CR11" i="3"/>
  <c r="BO12" i="4" l="1"/>
  <c r="BM12" i="4"/>
  <c r="BS12" i="4"/>
  <c r="U12" i="3"/>
  <c r="AV12" i="3"/>
  <c r="BE12" i="3"/>
  <c r="BN12" i="3"/>
  <c r="BX12" i="3"/>
  <c r="CG12" i="3"/>
  <c r="AE12" i="3"/>
  <c r="AW12" i="3"/>
  <c r="BF12" i="3"/>
  <c r="BO12" i="3"/>
  <c r="BY12" i="3"/>
  <c r="W12" i="3"/>
  <c r="AF12" i="3"/>
  <c r="AO12" i="3"/>
  <c r="AX12" i="3"/>
  <c r="BG12" i="3"/>
  <c r="O12" i="3"/>
  <c r="X12" i="3"/>
  <c r="AG12" i="3"/>
  <c r="AP12" i="3"/>
  <c r="AY12" i="3"/>
  <c r="P12" i="3"/>
  <c r="Y12" i="3"/>
  <c r="CB12" i="3"/>
  <c r="BT12" i="3"/>
  <c r="CC12" i="3"/>
  <c r="BJ11" i="4"/>
  <c r="BI11" i="4"/>
  <c r="BH11" i="4"/>
  <c r="BG11" i="4"/>
  <c r="BF11" i="4"/>
  <c r="BE11" i="4"/>
  <c r="BD11" i="4"/>
  <c r="H11" i="4"/>
  <c r="BK12" i="4" s="1"/>
  <c r="F11" i="4"/>
  <c r="G11" i="4"/>
  <c r="I11" i="4"/>
  <c r="BL12" i="4" s="1"/>
  <c r="J11" i="4"/>
  <c r="K11" i="4"/>
  <c r="BN12" i="4" s="1"/>
  <c r="L11" i="4"/>
  <c r="M11" i="4"/>
  <c r="BP12" i="4" s="1"/>
  <c r="N11" i="4"/>
  <c r="BQ12" i="4" s="1"/>
  <c r="O11" i="4"/>
  <c r="BR12" i="4" s="1"/>
  <c r="P11" i="4"/>
  <c r="P12" i="4" s="1"/>
  <c r="Q11" i="4"/>
  <c r="BT12" i="4" s="1"/>
  <c r="R11" i="4"/>
  <c r="BU12" i="4" s="1"/>
  <c r="S11" i="4"/>
  <c r="T11" i="4"/>
  <c r="U11" i="4"/>
  <c r="V11" i="4"/>
  <c r="W11" i="4"/>
  <c r="X11" i="4"/>
  <c r="X12" i="4" s="1"/>
  <c r="Y11" i="4"/>
  <c r="Z11" i="4"/>
  <c r="AA11" i="4"/>
  <c r="AB11" i="4"/>
  <c r="AC11" i="4"/>
  <c r="AD11" i="4"/>
  <c r="AE11" i="4"/>
  <c r="AF11" i="4"/>
  <c r="AF12" i="4" s="1"/>
  <c r="AG11" i="4"/>
  <c r="AH11" i="4"/>
  <c r="AI11" i="4"/>
  <c r="AJ11" i="4"/>
  <c r="AK11" i="4"/>
  <c r="AL11" i="4"/>
  <c r="AM11" i="4"/>
  <c r="AN11" i="4"/>
  <c r="AN12" i="4" s="1"/>
  <c r="AO11" i="4"/>
  <c r="AP11" i="4"/>
  <c r="AQ11" i="4"/>
  <c r="AR11" i="4"/>
  <c r="AS11" i="4"/>
  <c r="AT11" i="4"/>
  <c r="AU11" i="4"/>
  <c r="AV11" i="4"/>
  <c r="AV12" i="4" s="1"/>
  <c r="AW11" i="4"/>
  <c r="AX11" i="4"/>
  <c r="AY11" i="4"/>
  <c r="AZ11" i="4"/>
  <c r="BA11" i="4"/>
  <c r="BB11" i="4"/>
  <c r="BC11" i="4"/>
  <c r="E6" i="4"/>
  <c r="E7" i="4"/>
  <c r="E8" i="4"/>
  <c r="E9" i="4"/>
  <c r="E10" i="4"/>
  <c r="D11" i="4"/>
  <c r="H12" i="4" l="1"/>
  <c r="BA12" i="4"/>
  <c r="AK12" i="4"/>
  <c r="AZ12" i="4"/>
  <c r="AJ12" i="4"/>
  <c r="T12" i="4"/>
  <c r="J12" i="4"/>
  <c r="AX12" i="4"/>
  <c r="AP12" i="4"/>
  <c r="AH12" i="4"/>
  <c r="Z12" i="4"/>
  <c r="R12" i="4"/>
  <c r="BG12" i="4"/>
  <c r="AW12" i="4"/>
  <c r="AO12" i="4"/>
  <c r="AG12" i="4"/>
  <c r="Y12" i="4"/>
  <c r="Q12" i="4"/>
  <c r="I12" i="4"/>
  <c r="BH12" i="4"/>
  <c r="BI12" i="4"/>
  <c r="BJ12" i="4"/>
  <c r="BC12" i="4"/>
  <c r="AU12" i="4"/>
  <c r="AM12" i="4"/>
  <c r="AE12" i="4"/>
  <c r="W12" i="4"/>
  <c r="O12" i="4"/>
  <c r="AT12" i="4"/>
  <c r="AD12" i="4"/>
  <c r="N12" i="4"/>
  <c r="AS12" i="4"/>
  <c r="AC12" i="4"/>
  <c r="U12" i="4"/>
  <c r="M12" i="4"/>
  <c r="V12" i="4"/>
  <c r="AL12" i="4"/>
  <c r="BB12" i="4"/>
  <c r="L12" i="4"/>
  <c r="AB12" i="4"/>
  <c r="AR12" i="4"/>
  <c r="BE12" i="4"/>
  <c r="BD12" i="4"/>
  <c r="AY12" i="4"/>
  <c r="AQ12" i="4"/>
  <c r="AI12" i="4"/>
  <c r="AA12" i="4"/>
  <c r="S12" i="4"/>
  <c r="K12" i="4"/>
  <c r="BF12" i="4"/>
  <c r="E11" i="4"/>
  <c r="F12" i="2" l="1"/>
  <c r="F11" i="2"/>
  <c r="F8" i="2"/>
  <c r="F7" i="2"/>
  <c r="F6" i="2"/>
  <c r="F5" i="2"/>
  <c r="EA17" i="2"/>
  <c r="EA13" i="2"/>
  <c r="DZ9" i="2"/>
  <c r="DZ13" i="2" s="1"/>
  <c r="DY9" i="2"/>
  <c r="DY13" i="2" s="1"/>
  <c r="DX9" i="2"/>
  <c r="DX13" i="2" s="1"/>
  <c r="DW9" i="2"/>
  <c r="DW13" i="2" s="1"/>
  <c r="DV9" i="2"/>
  <c r="DV13" i="2" s="1"/>
  <c r="DU9" i="2"/>
  <c r="DU13" i="2" s="1"/>
  <c r="DT17" i="2"/>
  <c r="DT13" i="2"/>
  <c r="DS9" i="2"/>
  <c r="DS13" i="2" s="1"/>
  <c r="DR9" i="2"/>
  <c r="DR13" i="2" s="1"/>
  <c r="DQ9" i="2"/>
  <c r="DQ13" i="2" s="1"/>
  <c r="DP9" i="2"/>
  <c r="DP13" i="2" s="1"/>
  <c r="DO9" i="2"/>
  <c r="DO13" i="2" s="1"/>
  <c r="DN9" i="2"/>
  <c r="DN13" i="2" s="1"/>
  <c r="DM17" i="2"/>
  <c r="DM13" i="2"/>
  <c r="DL9" i="2"/>
  <c r="DL13" i="2" s="1"/>
  <c r="DK9" i="2"/>
  <c r="DK13" i="2" s="1"/>
  <c r="DJ9" i="2"/>
  <c r="DJ13" i="2" s="1"/>
  <c r="DI9" i="2"/>
  <c r="DI13" i="2" s="1"/>
  <c r="DH9" i="2"/>
  <c r="DH13" i="2" s="1"/>
  <c r="DG9" i="2"/>
  <c r="DG13" i="2" s="1"/>
  <c r="DF17" i="2"/>
  <c r="DF13" i="2"/>
  <c r="DE9" i="2"/>
  <c r="DE13" i="2" s="1"/>
  <c r="DD9" i="2"/>
  <c r="DD13" i="2" s="1"/>
  <c r="DC9" i="2"/>
  <c r="DC13" i="2" s="1"/>
  <c r="DB9" i="2"/>
  <c r="DB13" i="2" s="1"/>
  <c r="DA9" i="2"/>
  <c r="DA13" i="2" s="1"/>
  <c r="CZ9" i="2"/>
  <c r="CZ13" i="2" s="1"/>
  <c r="L13" i="2"/>
  <c r="S13" i="2"/>
  <c r="Z13" i="2"/>
  <c r="AG13" i="2"/>
  <c r="AN13" i="2"/>
  <c r="AU13" i="2"/>
  <c r="BB13" i="2"/>
  <c r="BI13" i="2"/>
  <c r="BP13" i="2"/>
  <c r="BW13" i="2"/>
  <c r="CD13" i="2"/>
  <c r="CK13" i="2"/>
  <c r="CR13" i="2"/>
  <c r="CY13" i="2"/>
  <c r="K12" i="3" l="1"/>
  <c r="G12" i="3"/>
  <c r="J12" i="3"/>
  <c r="I12" i="3"/>
  <c r="H12" i="3"/>
  <c r="M12" i="3"/>
  <c r="CY17" i="2"/>
  <c r="CR17" i="2"/>
  <c r="CK17" i="2"/>
  <c r="CD17" i="2"/>
  <c r="BW17" i="2"/>
  <c r="BP17" i="2"/>
  <c r="BI17" i="2"/>
  <c r="BB17" i="2"/>
  <c r="AU17" i="2"/>
  <c r="AN17" i="2"/>
  <c r="CX9" i="2"/>
  <c r="CX13" i="2" s="1"/>
  <c r="CW9" i="2"/>
  <c r="CW13" i="2" s="1"/>
  <c r="CV9" i="2"/>
  <c r="CV13" i="2" s="1"/>
  <c r="CU9" i="2"/>
  <c r="CU13" i="2" s="1"/>
  <c r="CT9" i="2"/>
  <c r="CT13" i="2" s="1"/>
  <c r="CS9" i="2"/>
  <c r="CS13" i="2" s="1"/>
  <c r="CQ9" i="2"/>
  <c r="CQ13" i="2" s="1"/>
  <c r="CP9" i="2"/>
  <c r="CP13" i="2" s="1"/>
  <c r="CO9" i="2"/>
  <c r="CO13" i="2" s="1"/>
  <c r="CN9" i="2"/>
  <c r="CN13" i="2" s="1"/>
  <c r="CM9" i="2"/>
  <c r="CM13" i="2" s="1"/>
  <c r="CL9" i="2"/>
  <c r="CL13" i="2" s="1"/>
  <c r="CJ9" i="2"/>
  <c r="CJ13" i="2" s="1"/>
  <c r="CI9" i="2"/>
  <c r="CI13" i="2" s="1"/>
  <c r="CH9" i="2"/>
  <c r="CH13" i="2" s="1"/>
  <c r="CG9" i="2"/>
  <c r="CG13" i="2" s="1"/>
  <c r="CF9" i="2"/>
  <c r="CF13" i="2" s="1"/>
  <c r="CE9" i="2"/>
  <c r="CE13" i="2" s="1"/>
  <c r="CC9" i="2"/>
  <c r="CC13" i="2" s="1"/>
  <c r="CB9" i="2"/>
  <c r="CB13" i="2" s="1"/>
  <c r="CA9" i="2"/>
  <c r="CA13" i="2" s="1"/>
  <c r="BZ9" i="2"/>
  <c r="BZ13" i="2" s="1"/>
  <c r="BY9" i="2"/>
  <c r="BY13" i="2" s="1"/>
  <c r="BX9" i="2"/>
  <c r="BX13" i="2" s="1"/>
  <c r="BV9" i="2"/>
  <c r="BV13" i="2" s="1"/>
  <c r="BU9" i="2"/>
  <c r="BU13" i="2" s="1"/>
  <c r="BT9" i="2"/>
  <c r="BT13" i="2" s="1"/>
  <c r="BS9" i="2"/>
  <c r="BS13" i="2" s="1"/>
  <c r="BR9" i="2"/>
  <c r="BR13" i="2" s="1"/>
  <c r="BQ9" i="2"/>
  <c r="BQ13" i="2" s="1"/>
  <c r="BO9" i="2"/>
  <c r="BO13" i="2" s="1"/>
  <c r="BN9" i="2"/>
  <c r="BN13" i="2" s="1"/>
  <c r="BM9" i="2"/>
  <c r="BM13" i="2" s="1"/>
  <c r="BL9" i="2"/>
  <c r="BL13" i="2" s="1"/>
  <c r="BK9" i="2"/>
  <c r="BK13" i="2" s="1"/>
  <c r="BJ9" i="2"/>
  <c r="BJ13" i="2" s="1"/>
  <c r="BH9" i="2"/>
  <c r="BH13" i="2" s="1"/>
  <c r="BG9" i="2"/>
  <c r="BG13" i="2" s="1"/>
  <c r="BF9" i="2"/>
  <c r="BF13" i="2" s="1"/>
  <c r="BE9" i="2"/>
  <c r="BE13" i="2" s="1"/>
  <c r="BD9" i="2"/>
  <c r="BD13" i="2" s="1"/>
  <c r="BC9" i="2"/>
  <c r="BC13" i="2" s="1"/>
  <c r="BA9" i="2"/>
  <c r="BA13" i="2" s="1"/>
  <c r="AZ9" i="2"/>
  <c r="AZ13" i="2" s="1"/>
  <c r="AY9" i="2"/>
  <c r="AY13" i="2" s="1"/>
  <c r="AX9" i="2"/>
  <c r="AX13" i="2" s="1"/>
  <c r="AW9" i="2"/>
  <c r="AW13" i="2" s="1"/>
  <c r="AV9" i="2"/>
  <c r="AV13" i="2" s="1"/>
  <c r="AT9" i="2"/>
  <c r="AT13" i="2" s="1"/>
  <c r="AS9" i="2"/>
  <c r="AS13" i="2" s="1"/>
  <c r="AR9" i="2"/>
  <c r="AR13" i="2" s="1"/>
  <c r="AQ9" i="2"/>
  <c r="AQ13" i="2" s="1"/>
  <c r="AP9" i="2"/>
  <c r="AP13" i="2" s="1"/>
  <c r="AO9" i="2"/>
  <c r="AO13" i="2" s="1"/>
  <c r="AM9" i="2"/>
  <c r="AM13" i="2" s="1"/>
  <c r="AL9" i="2"/>
  <c r="AL13" i="2" s="1"/>
  <c r="AK9" i="2"/>
  <c r="AK13" i="2" s="1"/>
  <c r="AJ9" i="2"/>
  <c r="AJ13" i="2" s="1"/>
  <c r="AI9" i="2"/>
  <c r="AI13" i="2" s="1"/>
  <c r="AH9" i="2"/>
  <c r="AH13" i="2" s="1"/>
  <c r="AF9" i="2"/>
  <c r="AF13" i="2" s="1"/>
  <c r="AE9" i="2"/>
  <c r="AE13" i="2" s="1"/>
  <c r="AD9" i="2"/>
  <c r="AD13" i="2" s="1"/>
  <c r="AC9" i="2"/>
  <c r="AC13" i="2" s="1"/>
  <c r="AB9" i="2"/>
  <c r="AB13" i="2" s="1"/>
  <c r="AA9" i="2"/>
  <c r="AA13" i="2" s="1"/>
  <c r="Y9" i="2"/>
  <c r="Y13" i="2" s="1"/>
  <c r="X9" i="2"/>
  <c r="X13" i="2" s="1"/>
  <c r="W9" i="2"/>
  <c r="W13" i="2" s="1"/>
  <c r="V9" i="2"/>
  <c r="V13" i="2" s="1"/>
  <c r="U9" i="2"/>
  <c r="U13" i="2" s="1"/>
  <c r="T9" i="2"/>
  <c r="T13" i="2" s="1"/>
  <c r="R9" i="2"/>
  <c r="R13" i="2" s="1"/>
  <c r="Q9" i="2"/>
  <c r="Q13" i="2" s="1"/>
  <c r="P9" i="2"/>
  <c r="P13" i="2" s="1"/>
  <c r="O9" i="2"/>
  <c r="O13" i="2" s="1"/>
  <c r="N9" i="2"/>
  <c r="N13" i="2" s="1"/>
  <c r="M9" i="2"/>
  <c r="M13" i="2" s="1"/>
  <c r="K9" i="2"/>
  <c r="K13" i="2" s="1"/>
  <c r="J9" i="2"/>
  <c r="J13" i="2" s="1"/>
  <c r="I9" i="2"/>
  <c r="I13" i="2" s="1"/>
  <c r="H9" i="2"/>
  <c r="H13" i="2" s="1"/>
  <c r="G9" i="2"/>
  <c r="G13" i="2" s="1"/>
  <c r="E9" i="2"/>
  <c r="E13" i="2" s="1"/>
  <c r="F12" i="3" l="1"/>
  <c r="F9" i="2"/>
  <c r="F13" i="2" s="1"/>
  <c r="J15" i="2"/>
  <c r="U15" i="2"/>
  <c r="V15" i="2"/>
  <c r="K15" i="2"/>
  <c r="N15" i="2"/>
  <c r="W15" i="2"/>
  <c r="O15" i="2"/>
  <c r="X14" i="2"/>
  <c r="P14" i="2"/>
  <c r="R15" i="2"/>
  <c r="T15" i="2"/>
  <c r="J14" i="2"/>
  <c r="R14" i="2"/>
  <c r="I15" i="2"/>
  <c r="Q15" i="2"/>
  <c r="K14" i="2"/>
  <c r="M14" i="2"/>
  <c r="U14" i="2"/>
  <c r="T14" i="2"/>
  <c r="N14" i="2"/>
  <c r="V14" i="2"/>
  <c r="O14" i="2"/>
  <c r="W14" i="2"/>
  <c r="I14" i="2"/>
  <c r="Q14" i="2"/>
  <c r="P15" i="2"/>
  <c r="X15" i="2"/>
  <c r="M15" i="2" l="1"/>
  <c r="AM11" i="3"/>
  <c r="AM12" i="3" s="1"/>
</calcChain>
</file>

<file path=xl/sharedStrings.xml><?xml version="1.0" encoding="utf-8"?>
<sst xmlns="http://schemas.openxmlformats.org/spreadsheetml/2006/main" count="264" uniqueCount="89">
  <si>
    <t>TOTAL</t>
  </si>
  <si>
    <t>ABIDJAN</t>
  </si>
  <si>
    <t>BOUAKE</t>
  </si>
  <si>
    <t>Serge VAGNY</t>
  </si>
  <si>
    <t>Mohamadou FOFANA</t>
  </si>
  <si>
    <t>Ludovic NIMBA</t>
  </si>
  <si>
    <t>Adama KONE</t>
  </si>
  <si>
    <t>Fora KEGBA</t>
  </si>
  <si>
    <t>Didier KASSI</t>
  </si>
  <si>
    <t>NEGO</t>
  </si>
  <si>
    <t>SCOPE IMMEUBLES TOTAL</t>
  </si>
  <si>
    <t>TOTAL REALISATION NEGO</t>
  </si>
  <si>
    <t>SCOPE IMMEUBLES HEBDO</t>
  </si>
  <si>
    <t>NEGO REALISEE JOURNALIER</t>
  </si>
  <si>
    <t>S35</t>
  </si>
  <si>
    <t>S36</t>
  </si>
  <si>
    <t>S37</t>
  </si>
  <si>
    <t>S38</t>
  </si>
  <si>
    <t>S39</t>
  </si>
  <si>
    <t>R/O</t>
  </si>
  <si>
    <t>RAF</t>
  </si>
  <si>
    <t>TOTAL REALISATION</t>
  </si>
  <si>
    <t>VEHICULES</t>
  </si>
  <si>
    <t>4332KBO1</t>
  </si>
  <si>
    <t>4333KB01</t>
  </si>
  <si>
    <t>3199KLO1</t>
  </si>
  <si>
    <t>1 JOUR</t>
  </si>
  <si>
    <t>TEMPS MOYEN D'ATTENTE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</si>
  <si>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</si>
  <si>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</si>
  <si>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</si>
  <si>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</si>
  <si>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</si>
  <si>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</si>
  <si>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</si>
  <si>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</si>
  <si>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</si>
  <si>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GSM</t>
  </si>
  <si>
    <t>S49</t>
  </si>
  <si>
    <t>S50</t>
  </si>
  <si>
    <t>S51</t>
  </si>
  <si>
    <t>S52</t>
  </si>
  <si>
    <t>S01</t>
  </si>
  <si>
    <t>S02</t>
  </si>
  <si>
    <t>S03</t>
  </si>
  <si>
    <t>S04</t>
  </si>
  <si>
    <t>S05</t>
  </si>
  <si>
    <t>ZONE D'ACTIVITE</t>
  </si>
  <si>
    <t>MARCORY ZONE 4 / ANGRE 7e TRANCHE</t>
  </si>
  <si>
    <t>MARCORY ZONE 4</t>
  </si>
  <si>
    <t>S6</t>
  </si>
  <si>
    <t>S7</t>
  </si>
  <si>
    <t>S8</t>
  </si>
  <si>
    <t>S9</t>
  </si>
  <si>
    <t>S10</t>
  </si>
  <si>
    <t>S11</t>
  </si>
  <si>
    <t>S12</t>
  </si>
  <si>
    <t>S13</t>
  </si>
  <si>
    <t>YOPOUGON SELMER</t>
  </si>
  <si>
    <t>Yopougon Selmer : Négociations FTTH OCI</t>
  </si>
  <si>
    <t>Bureau: Préparation COPIL OCI, visite conjointe DDPE, AGEROUTE, HUB</t>
  </si>
  <si>
    <t>Visite conjointe DDPE, AGEROUTE, HUB à Bingerville et Cocody</t>
  </si>
  <si>
    <t>Préparation Copil S9 Reporting Négo au GPT OCI</t>
  </si>
  <si>
    <t>Négo Sites GSM JAC501 &amp; JAC520 Reporting Négo au GPT OCI</t>
  </si>
  <si>
    <t>Prestataire</t>
  </si>
  <si>
    <t>S1</t>
  </si>
  <si>
    <t>S2</t>
  </si>
  <si>
    <t>S3</t>
  </si>
  <si>
    <t>S4</t>
  </si>
  <si>
    <t>S5</t>
  </si>
  <si>
    <t>MARCORY ZONE 4 / ANGRE 7e TRANCHE / YOP MAROC</t>
  </si>
  <si>
    <t>YOP MAROC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</si>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</sst>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ED7D31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rgb="FFFFC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theme="4" tint="0.79998168889431442"/>
        <bgColor rgb="FFED7D31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dotted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16" fontId="4" fillId="5" borderId="14" xfId="0" applyNumberFormat="1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9" fontId="2" fillId="8" borderId="4" xfId="1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6" fontId="4" fillId="5" borderId="36" xfId="0" applyNumberFormat="1" applyFont="1" applyFill="1" applyBorder="1" applyAlignment="1">
      <alignment horizontal="center" vertical="center"/>
    </xf>
    <xf numFmtId="16" fontId="4" fillId="5" borderId="37" xfId="0" applyNumberFormat="1" applyFont="1" applyFill="1" applyBorder="1" applyAlignment="1">
      <alignment horizontal="center" vertical="center"/>
    </xf>
    <xf numFmtId="16" fontId="4" fillId="5" borderId="38" xfId="0" applyNumberFormat="1" applyFont="1" applyFill="1" applyBorder="1" applyAlignment="1">
      <alignment horizontal="center" vertical="center"/>
    </xf>
    <xf numFmtId="16" fontId="4" fillId="5" borderId="39" xfId="0" applyNumberFormat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 wrapText="1"/>
    </xf>
    <xf numFmtId="17" fontId="3" fillId="2" borderId="2" xfId="0" applyNumberFormat="1" applyFont="1" applyFill="1" applyBorder="1" applyAlignment="1">
      <alignment horizontal="center" vertical="center" wrapText="1"/>
    </xf>
    <xf numFmtId="17" fontId="3" fillId="2" borderId="6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5" fillId="4" borderId="13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2" fillId="9" borderId="23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35" xfId="0" applyFont="1" applyFill="1" applyBorder="1" applyAlignment="1">
      <alignment horizontal="center" vertical="center"/>
    </xf>
    <xf numFmtId="0" fontId="2" fillId="8" borderId="41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DA482-39AD-46D1-8D99-B77197CA97E6}">
  <dimension ref="A1:EA17"/>
  <sheetViews>
    <sheetView zoomScale="70" zoomScaleNormal="7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J19" sqref="J19"/>
    </sheetView>
  </sheetViews>
  <sheetFormatPr baseColWidth="10" defaultRowHeight="15" x14ac:dyDescent="0.25"/>
  <cols>
    <col min="2" max="2" width="17.28515625" customWidth="1"/>
    <col min="3" max="3" width="16.28515625" customWidth="1"/>
    <col min="4" max="4" width="14.7109375" customWidth="1"/>
  </cols>
  <sheetData>
    <row r="1" spans="1:131" ht="15.75" thickBot="1" x14ac:dyDescent="0.3">
      <c r="B1" s="58" t="s">
        <v>9</v>
      </c>
      <c r="C1" s="58" t="s">
        <v>22</v>
      </c>
      <c r="D1" s="58" t="s">
        <v>27</v>
      </c>
      <c r="E1" s="58" t="s">
        <v>10</v>
      </c>
      <c r="F1" s="58" t="s">
        <v>11</v>
      </c>
      <c r="G1" s="58" t="s">
        <v>12</v>
      </c>
      <c r="H1" s="58" t="s">
        <v>13</v>
      </c>
      <c r="I1" s="63">
        <v>44805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5"/>
    </row>
    <row r="2" spans="1:131" ht="19.5" customHeight="1" thickBot="1" x14ac:dyDescent="0.3">
      <c r="B2" s="59"/>
      <c r="C2" s="59"/>
      <c r="D2" s="59"/>
      <c r="E2" s="59"/>
      <c r="F2" s="59"/>
      <c r="G2" s="59"/>
      <c r="H2" s="59"/>
      <c r="I2" s="66" t="s">
        <v>14</v>
      </c>
      <c r="J2" s="67"/>
      <c r="K2" s="67"/>
      <c r="L2" s="67"/>
      <c r="M2" s="55" t="s">
        <v>15</v>
      </c>
      <c r="N2" s="56"/>
      <c r="O2" s="56"/>
      <c r="P2" s="56"/>
      <c r="Q2" s="56"/>
      <c r="R2" s="56"/>
      <c r="S2" s="57"/>
      <c r="T2" s="55" t="s">
        <v>16</v>
      </c>
      <c r="U2" s="56"/>
      <c r="V2" s="56"/>
      <c r="W2" s="56"/>
      <c r="X2" s="56"/>
      <c r="Y2" s="56"/>
      <c r="Z2" s="57"/>
      <c r="AA2" s="55" t="s">
        <v>17</v>
      </c>
      <c r="AB2" s="56"/>
      <c r="AC2" s="56"/>
      <c r="AD2" s="56"/>
      <c r="AE2" s="56"/>
      <c r="AF2" s="56"/>
      <c r="AG2" s="57"/>
      <c r="AH2" s="55" t="s">
        <v>18</v>
      </c>
      <c r="AI2" s="56"/>
      <c r="AJ2" s="56"/>
      <c r="AK2" s="56"/>
      <c r="AL2" s="56"/>
      <c r="AM2" s="56"/>
      <c r="AN2" s="57"/>
      <c r="AO2" s="55" t="s">
        <v>28</v>
      </c>
      <c r="AP2" s="56"/>
      <c r="AQ2" s="56"/>
      <c r="AR2" s="56"/>
      <c r="AS2" s="56"/>
      <c r="AT2" s="56"/>
      <c r="AU2" s="57"/>
      <c r="AV2" s="55" t="s">
        <v>29</v>
      </c>
      <c r="AW2" s="56"/>
      <c r="AX2" s="56"/>
      <c r="AY2" s="56"/>
      <c r="AZ2" s="56"/>
      <c r="BA2" s="56"/>
      <c r="BB2" s="57"/>
      <c r="BC2" s="55" t="s">
        <v>30</v>
      </c>
      <c r="BD2" s="56"/>
      <c r="BE2" s="56"/>
      <c r="BF2" s="56"/>
      <c r="BG2" s="56"/>
      <c r="BH2" s="56"/>
      <c r="BI2" s="57"/>
      <c r="BJ2" s="55" t="s">
        <v>31</v>
      </c>
      <c r="BK2" s="56"/>
      <c r="BL2" s="56"/>
      <c r="BM2" s="56"/>
      <c r="BN2" s="56"/>
      <c r="BO2" s="56"/>
      <c r="BP2" s="57"/>
      <c r="BQ2" s="55" t="s">
        <v>32</v>
      </c>
      <c r="BR2" s="56"/>
      <c r="BS2" s="56"/>
      <c r="BT2" s="56"/>
      <c r="BU2" s="56"/>
      <c r="BV2" s="56"/>
      <c r="BW2" s="57"/>
      <c r="BX2" s="55" t="s">
        <v>33</v>
      </c>
      <c r="BY2" s="56"/>
      <c r="BZ2" s="56"/>
      <c r="CA2" s="56"/>
      <c r="CB2" s="56"/>
      <c r="CC2" s="56"/>
      <c r="CD2" s="57"/>
      <c r="CE2" s="55" t="s">
        <v>34</v>
      </c>
      <c r="CF2" s="56"/>
      <c r="CG2" s="56"/>
      <c r="CH2" s="56"/>
      <c r="CI2" s="56"/>
      <c r="CJ2" s="56"/>
      <c r="CK2" s="57"/>
      <c r="CL2" s="55" t="s">
        <v>35</v>
      </c>
      <c r="CM2" s="56"/>
      <c r="CN2" s="56"/>
      <c r="CO2" s="56"/>
      <c r="CP2" s="56"/>
      <c r="CQ2" s="56"/>
      <c r="CR2" s="57"/>
      <c r="CS2" s="55" t="s">
        <v>36</v>
      </c>
      <c r="CT2" s="56"/>
      <c r="CU2" s="56"/>
      <c r="CV2" s="56"/>
      <c r="CW2" s="56"/>
      <c r="CX2" s="56"/>
      <c r="CY2" s="57"/>
      <c r="CZ2" s="55" t="s">
        <v>38</v>
      </c>
      <c r="DA2" s="56"/>
      <c r="DB2" s="56"/>
      <c r="DC2" s="56"/>
      <c r="DD2" s="56"/>
      <c r="DE2" s="56"/>
      <c r="DF2" s="57"/>
      <c r="DG2" s="55" t="s">
        <v>39</v>
      </c>
      <c r="DH2" s="56"/>
      <c r="DI2" s="56"/>
      <c r="DJ2" s="56"/>
      <c r="DK2" s="56"/>
      <c r="DL2" s="56"/>
      <c r="DM2" s="57"/>
      <c r="DN2" s="55" t="s">
        <v>40</v>
      </c>
      <c r="DO2" s="56"/>
      <c r="DP2" s="56"/>
      <c r="DQ2" s="56"/>
      <c r="DR2" s="56"/>
      <c r="DS2" s="56"/>
      <c r="DT2" s="57"/>
      <c r="DU2" s="55" t="s">
        <v>41</v>
      </c>
      <c r="DV2" s="56"/>
      <c r="DW2" s="56"/>
      <c r="DX2" s="56"/>
      <c r="DY2" s="56"/>
      <c r="DZ2" s="56"/>
      <c r="EA2" s="57"/>
    </row>
    <row r="3" spans="1:131" ht="15.75" thickBot="1" x14ac:dyDescent="0.3">
      <c r="B3" s="59"/>
      <c r="C3" s="59"/>
      <c r="D3" s="59"/>
      <c r="E3" s="59"/>
      <c r="F3" s="59"/>
      <c r="G3" s="59"/>
      <c r="H3" s="59"/>
      <c r="I3" s="1">
        <v>44805</v>
      </c>
      <c r="J3" s="1">
        <v>44806</v>
      </c>
      <c r="K3" s="1">
        <v>44807</v>
      </c>
      <c r="L3" s="1">
        <v>44808</v>
      </c>
      <c r="M3" s="1">
        <v>44809</v>
      </c>
      <c r="N3" s="1">
        <v>44810</v>
      </c>
      <c r="O3" s="1">
        <v>44811</v>
      </c>
      <c r="P3" s="1">
        <v>44812</v>
      </c>
      <c r="Q3" s="1">
        <v>44813</v>
      </c>
      <c r="R3" s="1">
        <v>44814</v>
      </c>
      <c r="S3" s="1">
        <v>44815</v>
      </c>
      <c r="T3" s="1">
        <v>44816</v>
      </c>
      <c r="U3" s="1">
        <v>44817</v>
      </c>
      <c r="V3" s="1">
        <v>44818</v>
      </c>
      <c r="W3" s="1">
        <v>44819</v>
      </c>
      <c r="X3" s="1">
        <v>44820</v>
      </c>
      <c r="Y3" s="1">
        <v>44821</v>
      </c>
      <c r="Z3" s="1">
        <v>44822</v>
      </c>
      <c r="AA3" s="1">
        <v>44823</v>
      </c>
      <c r="AB3" s="1">
        <v>44824</v>
      </c>
      <c r="AC3" s="1">
        <v>44825</v>
      </c>
      <c r="AD3" s="1">
        <v>44826</v>
      </c>
      <c r="AE3" s="1">
        <v>44827</v>
      </c>
      <c r="AF3" s="1">
        <v>44828</v>
      </c>
      <c r="AG3" s="1">
        <v>44829</v>
      </c>
      <c r="AH3" s="1">
        <v>44830</v>
      </c>
      <c r="AI3" s="1">
        <v>44831</v>
      </c>
      <c r="AJ3" s="1">
        <v>44832</v>
      </c>
      <c r="AK3" s="1">
        <v>44833</v>
      </c>
      <c r="AL3" s="1">
        <v>44834</v>
      </c>
      <c r="AM3" s="1">
        <v>44835</v>
      </c>
      <c r="AN3" s="1">
        <v>44836</v>
      </c>
      <c r="AO3" s="1">
        <v>44837</v>
      </c>
      <c r="AP3" s="1">
        <v>44838</v>
      </c>
      <c r="AQ3" s="1">
        <v>44839</v>
      </c>
      <c r="AR3" s="1">
        <v>44840</v>
      </c>
      <c r="AS3" s="1">
        <v>44841</v>
      </c>
      <c r="AT3" s="1">
        <v>44842</v>
      </c>
      <c r="AU3" s="1">
        <v>44843</v>
      </c>
      <c r="AV3" s="1">
        <v>44844</v>
      </c>
      <c r="AW3" s="1">
        <v>44845</v>
      </c>
      <c r="AX3" s="1">
        <v>44846</v>
      </c>
      <c r="AY3" s="1">
        <v>44847</v>
      </c>
      <c r="AZ3" s="1">
        <v>44848</v>
      </c>
      <c r="BA3" s="1">
        <v>44849</v>
      </c>
      <c r="BB3" s="1">
        <v>44850</v>
      </c>
      <c r="BC3" s="1">
        <v>44851</v>
      </c>
      <c r="BD3" s="1">
        <v>44852</v>
      </c>
      <c r="BE3" s="1">
        <v>44853</v>
      </c>
      <c r="BF3" s="1">
        <v>44854</v>
      </c>
      <c r="BG3" s="1">
        <v>44855</v>
      </c>
      <c r="BH3" s="1">
        <v>44856</v>
      </c>
      <c r="BI3" s="1">
        <v>44857</v>
      </c>
      <c r="BJ3" s="1">
        <v>44858</v>
      </c>
      <c r="BK3" s="1">
        <v>44859</v>
      </c>
      <c r="BL3" s="1">
        <v>44860</v>
      </c>
      <c r="BM3" s="1">
        <v>44861</v>
      </c>
      <c r="BN3" s="1">
        <v>44862</v>
      </c>
      <c r="BO3" s="1">
        <v>44863</v>
      </c>
      <c r="BP3" s="1">
        <v>44864</v>
      </c>
      <c r="BQ3" s="1">
        <v>44865</v>
      </c>
      <c r="BR3" s="1">
        <v>44866</v>
      </c>
      <c r="BS3" s="1">
        <v>44867</v>
      </c>
      <c r="BT3" s="1">
        <v>44868</v>
      </c>
      <c r="BU3" s="1">
        <v>44869</v>
      </c>
      <c r="BV3" s="1">
        <v>44870</v>
      </c>
      <c r="BW3" s="1">
        <v>44871</v>
      </c>
      <c r="BX3" s="1">
        <v>44872</v>
      </c>
      <c r="BY3" s="1">
        <v>44873</v>
      </c>
      <c r="BZ3" s="1">
        <v>44874</v>
      </c>
      <c r="CA3" s="1">
        <v>44875</v>
      </c>
      <c r="CB3" s="1">
        <v>44876</v>
      </c>
      <c r="CC3" s="1">
        <v>44877</v>
      </c>
      <c r="CD3" s="1">
        <v>44878</v>
      </c>
      <c r="CE3" s="1">
        <v>44879</v>
      </c>
      <c r="CF3" s="1">
        <v>44880</v>
      </c>
      <c r="CG3" s="1">
        <v>44881</v>
      </c>
      <c r="CH3" s="1">
        <v>44882</v>
      </c>
      <c r="CI3" s="1">
        <v>44883</v>
      </c>
      <c r="CJ3" s="1">
        <v>44884</v>
      </c>
      <c r="CK3" s="1">
        <v>44885</v>
      </c>
      <c r="CL3" s="1">
        <v>44886</v>
      </c>
      <c r="CM3" s="1">
        <v>44887</v>
      </c>
      <c r="CN3" s="1">
        <v>44888</v>
      </c>
      <c r="CO3" s="1">
        <v>44889</v>
      </c>
      <c r="CP3" s="1">
        <v>44890</v>
      </c>
      <c r="CQ3" s="1">
        <v>44891</v>
      </c>
      <c r="CR3" s="1">
        <v>44892</v>
      </c>
      <c r="CS3" s="1">
        <v>44893</v>
      </c>
      <c r="CT3" s="1">
        <v>44894</v>
      </c>
      <c r="CU3" s="1">
        <v>44895</v>
      </c>
      <c r="CV3" s="1">
        <v>44896</v>
      </c>
      <c r="CW3" s="1">
        <v>44897</v>
      </c>
      <c r="CX3" s="1">
        <v>44898</v>
      </c>
      <c r="CY3" s="1">
        <v>44899</v>
      </c>
      <c r="CZ3" s="1">
        <v>44900</v>
      </c>
      <c r="DA3" s="1">
        <v>44901</v>
      </c>
      <c r="DB3" s="1">
        <v>44902</v>
      </c>
      <c r="DC3" s="1">
        <v>44903</v>
      </c>
      <c r="DD3" s="1">
        <v>44904</v>
      </c>
      <c r="DE3" s="1">
        <v>44905</v>
      </c>
      <c r="DF3" s="1">
        <v>44906</v>
      </c>
      <c r="DG3" s="1">
        <v>44907</v>
      </c>
      <c r="DH3" s="1">
        <v>44908</v>
      </c>
      <c r="DI3" s="1">
        <v>44909</v>
      </c>
      <c r="DJ3" s="1">
        <v>44910</v>
      </c>
      <c r="DK3" s="1">
        <v>44911</v>
      </c>
      <c r="DL3" s="1">
        <v>44912</v>
      </c>
      <c r="DM3" s="1">
        <v>44913</v>
      </c>
      <c r="DN3" s="1">
        <v>44914</v>
      </c>
      <c r="DO3" s="1">
        <v>44915</v>
      </c>
      <c r="DP3" s="1">
        <v>44916</v>
      </c>
      <c r="DQ3" s="1">
        <v>44917</v>
      </c>
      <c r="DR3" s="1">
        <v>44918</v>
      </c>
      <c r="DS3" s="1">
        <v>44919</v>
      </c>
      <c r="DT3" s="1">
        <v>44920</v>
      </c>
      <c r="DU3" s="1">
        <v>44921</v>
      </c>
      <c r="DV3" s="1">
        <v>44922</v>
      </c>
      <c r="DW3" s="1">
        <v>44923</v>
      </c>
      <c r="DX3" s="1">
        <v>44924</v>
      </c>
      <c r="DY3" s="1">
        <v>44925</v>
      </c>
      <c r="DZ3" s="1">
        <v>44926</v>
      </c>
      <c r="EA3" s="1">
        <v>44927</v>
      </c>
    </row>
    <row r="4" spans="1:131" ht="15.75" thickBot="1" x14ac:dyDescent="0.3">
      <c r="B4" s="60"/>
      <c r="C4" s="60"/>
      <c r="D4" s="60"/>
      <c r="E4" s="60"/>
      <c r="F4" s="60"/>
      <c r="G4" s="60"/>
      <c r="H4" s="60"/>
      <c r="I4" s="52" t="s">
        <v>21</v>
      </c>
      <c r="J4" s="68"/>
      <c r="K4" s="68"/>
      <c r="L4" s="69"/>
      <c r="M4" s="52" t="s">
        <v>21</v>
      </c>
      <c r="N4" s="53"/>
      <c r="O4" s="53"/>
      <c r="P4" s="53"/>
      <c r="Q4" s="53"/>
      <c r="R4" s="53"/>
      <c r="S4" s="54"/>
      <c r="T4" s="52" t="s">
        <v>21</v>
      </c>
      <c r="U4" s="53"/>
      <c r="V4" s="53"/>
      <c r="W4" s="53"/>
      <c r="X4" s="53"/>
      <c r="Y4" s="53"/>
      <c r="Z4" s="54"/>
      <c r="AA4" s="52" t="s">
        <v>21</v>
      </c>
      <c r="AB4" s="53"/>
      <c r="AC4" s="53"/>
      <c r="AD4" s="53"/>
      <c r="AE4" s="53"/>
      <c r="AF4" s="53"/>
      <c r="AG4" s="54"/>
      <c r="AH4" s="52" t="s">
        <v>21</v>
      </c>
      <c r="AI4" s="53"/>
      <c r="AJ4" s="53"/>
      <c r="AK4" s="53"/>
      <c r="AL4" s="53"/>
      <c r="AM4" s="53"/>
      <c r="AN4" s="54"/>
      <c r="AO4" s="52" t="s">
        <v>21</v>
      </c>
      <c r="AP4" s="53"/>
      <c r="AQ4" s="53"/>
      <c r="AR4" s="53"/>
      <c r="AS4" s="53"/>
      <c r="AT4" s="53"/>
      <c r="AU4" s="54"/>
      <c r="AV4" s="52" t="s">
        <v>21</v>
      </c>
      <c r="AW4" s="53"/>
      <c r="AX4" s="53"/>
      <c r="AY4" s="53"/>
      <c r="AZ4" s="53"/>
      <c r="BA4" s="53"/>
      <c r="BB4" s="54"/>
      <c r="BC4" s="52" t="s">
        <v>21</v>
      </c>
      <c r="BD4" s="53"/>
      <c r="BE4" s="53"/>
      <c r="BF4" s="53"/>
      <c r="BG4" s="53"/>
      <c r="BH4" s="53"/>
      <c r="BI4" s="54"/>
      <c r="BJ4" s="52" t="s">
        <v>21</v>
      </c>
      <c r="BK4" s="53"/>
      <c r="BL4" s="53"/>
      <c r="BM4" s="53"/>
      <c r="BN4" s="53"/>
      <c r="BO4" s="53"/>
      <c r="BP4" s="54"/>
      <c r="BQ4" s="52" t="s">
        <v>21</v>
      </c>
      <c r="BR4" s="53"/>
      <c r="BS4" s="53"/>
      <c r="BT4" s="53"/>
      <c r="BU4" s="53"/>
      <c r="BV4" s="53"/>
      <c r="BW4" s="54"/>
      <c r="BX4" s="52" t="s">
        <v>21</v>
      </c>
      <c r="BY4" s="53"/>
      <c r="BZ4" s="53"/>
      <c r="CA4" s="53"/>
      <c r="CB4" s="53"/>
      <c r="CC4" s="53"/>
      <c r="CD4" s="54"/>
      <c r="CE4" s="52" t="s">
        <v>21</v>
      </c>
      <c r="CF4" s="53"/>
      <c r="CG4" s="53"/>
      <c r="CH4" s="53"/>
      <c r="CI4" s="53"/>
      <c r="CJ4" s="53"/>
      <c r="CK4" s="54"/>
      <c r="CL4" s="52" t="s">
        <v>21</v>
      </c>
      <c r="CM4" s="53"/>
      <c r="CN4" s="53"/>
      <c r="CO4" s="53"/>
      <c r="CP4" s="53"/>
      <c r="CQ4" s="53"/>
      <c r="CR4" s="54"/>
      <c r="CS4" s="52" t="s">
        <v>21</v>
      </c>
      <c r="CT4" s="53"/>
      <c r="CU4" s="53"/>
      <c r="CV4" s="53"/>
      <c r="CW4" s="53"/>
      <c r="CX4" s="53"/>
      <c r="CY4" s="54"/>
      <c r="CZ4" s="52" t="s">
        <v>21</v>
      </c>
      <c r="DA4" s="53"/>
      <c r="DB4" s="53"/>
      <c r="DC4" s="53"/>
      <c r="DD4" s="53"/>
      <c r="DE4" s="53"/>
      <c r="DF4" s="54"/>
      <c r="DG4" s="52" t="s">
        <v>21</v>
      </c>
      <c r="DH4" s="53"/>
      <c r="DI4" s="53"/>
      <c r="DJ4" s="53"/>
      <c r="DK4" s="53"/>
      <c r="DL4" s="53"/>
      <c r="DM4" s="54"/>
      <c r="DN4" s="52" t="s">
        <v>21</v>
      </c>
      <c r="DO4" s="53"/>
      <c r="DP4" s="53"/>
      <c r="DQ4" s="53"/>
      <c r="DR4" s="53"/>
      <c r="DS4" s="53"/>
      <c r="DT4" s="54"/>
      <c r="DU4" s="52" t="s">
        <v>21</v>
      </c>
      <c r="DV4" s="53"/>
      <c r="DW4" s="53"/>
      <c r="DX4" s="53"/>
      <c r="DY4" s="53"/>
      <c r="DZ4" s="53"/>
      <c r="EA4" s="54"/>
    </row>
    <row r="5" spans="1:131" ht="15.75" thickBot="1" x14ac:dyDescent="0.3">
      <c r="A5" s="25" t="s">
        <v>2</v>
      </c>
      <c r="B5" s="2" t="s">
        <v>7</v>
      </c>
      <c r="C5" s="24"/>
      <c r="D5" s="21" t="s">
        <v>26</v>
      </c>
      <c r="E5" s="17"/>
      <c r="F5" s="4">
        <f>SUM(I5:EA5)</f>
        <v>25</v>
      </c>
      <c r="G5" s="19"/>
      <c r="H5" s="17"/>
      <c r="I5" s="6"/>
      <c r="J5" s="7"/>
      <c r="K5" s="7">
        <v>2</v>
      </c>
      <c r="L5" s="20"/>
      <c r="M5" s="7"/>
      <c r="N5" s="7"/>
      <c r="O5" s="7">
        <v>1</v>
      </c>
      <c r="P5" s="9"/>
      <c r="Q5" s="9"/>
      <c r="R5" s="7">
        <v>1</v>
      </c>
      <c r="S5" s="20"/>
      <c r="T5" s="7">
        <v>1</v>
      </c>
      <c r="U5" s="7"/>
      <c r="V5" s="7"/>
      <c r="W5" s="7"/>
      <c r="X5" s="7">
        <v>2</v>
      </c>
      <c r="Y5" s="7"/>
      <c r="Z5" s="20"/>
      <c r="AA5" s="7">
        <v>2</v>
      </c>
      <c r="AB5" s="7"/>
      <c r="AC5" s="7">
        <v>1</v>
      </c>
      <c r="AD5" s="7">
        <v>2</v>
      </c>
      <c r="AE5" s="7">
        <v>1</v>
      </c>
      <c r="AF5" s="7"/>
      <c r="AG5" s="20"/>
      <c r="AH5" s="7"/>
      <c r="AI5" s="7"/>
      <c r="AJ5" s="7">
        <v>1</v>
      </c>
      <c r="AK5" s="7"/>
      <c r="AL5" s="7"/>
      <c r="AM5" s="7"/>
      <c r="AN5" s="20"/>
      <c r="AO5" s="7"/>
      <c r="AP5" s="7"/>
      <c r="AQ5" s="7"/>
      <c r="AR5" s="7"/>
      <c r="AS5" s="7"/>
      <c r="AT5" s="7"/>
      <c r="AU5" s="20"/>
      <c r="AV5" s="7">
        <v>1</v>
      </c>
      <c r="AW5" s="7"/>
      <c r="AX5" s="7"/>
      <c r="AY5" s="7"/>
      <c r="AZ5" s="7"/>
      <c r="BA5" s="7"/>
      <c r="BB5" s="20"/>
      <c r="BC5" s="7"/>
      <c r="BD5" s="7"/>
      <c r="BE5" s="7"/>
      <c r="BF5" s="7"/>
      <c r="BG5" s="7"/>
      <c r="BH5" s="7"/>
      <c r="BI5" s="20"/>
      <c r="BJ5" s="7"/>
      <c r="BK5" s="7"/>
      <c r="BL5" s="7"/>
      <c r="BM5" s="7">
        <v>1</v>
      </c>
      <c r="BN5" s="7"/>
      <c r="BO5" s="7"/>
      <c r="BP5" s="20"/>
      <c r="BQ5" s="7"/>
      <c r="BR5" s="7"/>
      <c r="BS5" s="7"/>
      <c r="BT5" s="7"/>
      <c r="BU5" s="7">
        <v>2</v>
      </c>
      <c r="BV5" s="7"/>
      <c r="BW5" s="20"/>
      <c r="BX5" s="7"/>
      <c r="BY5" s="7"/>
      <c r="BZ5" s="7"/>
      <c r="CA5" s="7">
        <v>2</v>
      </c>
      <c r="CB5" s="7"/>
      <c r="CC5" s="7"/>
      <c r="CD5" s="20"/>
      <c r="CE5" s="7"/>
      <c r="CF5" s="7"/>
      <c r="CG5" s="7"/>
      <c r="CH5" s="7"/>
      <c r="CI5" s="7"/>
      <c r="CJ5" s="7"/>
      <c r="CK5" s="20"/>
      <c r="CL5" s="7"/>
      <c r="CM5" s="7"/>
      <c r="CN5" s="7">
        <v>3</v>
      </c>
      <c r="CO5" s="7"/>
      <c r="CP5" s="7"/>
      <c r="CQ5" s="7"/>
      <c r="CR5" s="20"/>
      <c r="CS5" s="7"/>
      <c r="CT5" s="7"/>
      <c r="CU5" s="7"/>
      <c r="CV5" s="7"/>
      <c r="CW5" s="7"/>
      <c r="CX5" s="7"/>
      <c r="CY5" s="20"/>
      <c r="CZ5" s="7"/>
      <c r="DA5" s="7"/>
      <c r="DB5" s="7"/>
      <c r="DC5" s="7"/>
      <c r="DD5" s="7"/>
      <c r="DE5" s="7"/>
      <c r="DF5" s="20"/>
      <c r="DG5" s="7">
        <v>1</v>
      </c>
      <c r="DH5" s="7"/>
      <c r="DI5" s="7"/>
      <c r="DJ5" s="7"/>
      <c r="DK5" s="7"/>
      <c r="DL5" s="7"/>
      <c r="DM5" s="20"/>
      <c r="DN5" s="7">
        <v>1</v>
      </c>
      <c r="DO5" s="7"/>
      <c r="DP5" s="7"/>
      <c r="DQ5" s="7"/>
      <c r="DR5" s="7"/>
      <c r="DS5" s="7"/>
      <c r="DT5" s="20"/>
      <c r="DU5" s="7"/>
      <c r="DV5" s="7"/>
      <c r="DW5" s="7"/>
      <c r="DX5" s="7"/>
      <c r="DY5" s="7"/>
      <c r="DZ5" s="7"/>
      <c r="EA5" s="20"/>
    </row>
    <row r="6" spans="1:131" ht="26.25" thickBot="1" x14ac:dyDescent="0.3">
      <c r="A6" s="61" t="s">
        <v>1</v>
      </c>
      <c r="B6" s="2" t="s">
        <v>4</v>
      </c>
      <c r="C6" s="21" t="s">
        <v>24</v>
      </c>
      <c r="D6" s="21" t="s">
        <v>26</v>
      </c>
      <c r="E6" s="3"/>
      <c r="F6" s="4">
        <f>SUM(I6:EA6)</f>
        <v>30</v>
      </c>
      <c r="G6" s="5"/>
      <c r="H6" s="4"/>
      <c r="I6" s="10"/>
      <c r="J6" s="11"/>
      <c r="K6" s="11"/>
      <c r="L6" s="8"/>
      <c r="M6" s="11"/>
      <c r="N6" s="11"/>
      <c r="O6" s="11"/>
      <c r="P6" s="11"/>
      <c r="Q6" s="11"/>
      <c r="R6" s="11"/>
      <c r="S6" s="8"/>
      <c r="T6" s="11"/>
      <c r="U6" s="11"/>
      <c r="V6" s="11"/>
      <c r="W6" s="11"/>
      <c r="X6" s="11"/>
      <c r="Y6" s="11"/>
      <c r="Z6" s="8"/>
      <c r="AA6" s="11"/>
      <c r="AB6" s="11"/>
      <c r="AC6" s="11">
        <v>1</v>
      </c>
      <c r="AD6" s="11"/>
      <c r="AE6" s="11"/>
      <c r="AF6" s="11"/>
      <c r="AG6" s="8"/>
      <c r="AH6" s="11">
        <v>2</v>
      </c>
      <c r="AI6" s="11"/>
      <c r="AJ6" s="11"/>
      <c r="AK6" s="11"/>
      <c r="AL6" s="11">
        <v>1</v>
      </c>
      <c r="AM6" s="11"/>
      <c r="AN6" s="8"/>
      <c r="AO6" s="11"/>
      <c r="AP6" s="11"/>
      <c r="AQ6" s="11"/>
      <c r="AR6" s="11">
        <v>1</v>
      </c>
      <c r="AS6" s="11">
        <v>1</v>
      </c>
      <c r="AT6" s="11"/>
      <c r="AU6" s="8"/>
      <c r="AV6" s="11"/>
      <c r="AW6" s="11"/>
      <c r="AX6" s="11">
        <v>2</v>
      </c>
      <c r="AY6" s="11"/>
      <c r="AZ6" s="11">
        <v>1</v>
      </c>
      <c r="BA6" s="11"/>
      <c r="BB6" s="8"/>
      <c r="BC6" s="11">
        <v>1</v>
      </c>
      <c r="BD6" s="11"/>
      <c r="BE6" s="11"/>
      <c r="BF6" s="11"/>
      <c r="BG6" s="11">
        <v>1</v>
      </c>
      <c r="BH6" s="11"/>
      <c r="BI6" s="8"/>
      <c r="BJ6" s="11"/>
      <c r="BK6" s="11"/>
      <c r="BL6" s="11"/>
      <c r="BM6" s="11">
        <v>2</v>
      </c>
      <c r="BN6" s="11"/>
      <c r="BO6" s="11"/>
      <c r="BP6" s="8"/>
      <c r="BQ6" s="11"/>
      <c r="BR6" s="11"/>
      <c r="BS6" s="11">
        <v>1</v>
      </c>
      <c r="BT6" s="11">
        <v>1</v>
      </c>
      <c r="BU6" s="11">
        <v>1</v>
      </c>
      <c r="BV6" s="11"/>
      <c r="BW6" s="8"/>
      <c r="BX6" s="11"/>
      <c r="BY6" s="11">
        <v>1</v>
      </c>
      <c r="BZ6" s="11">
        <v>1</v>
      </c>
      <c r="CA6" s="11"/>
      <c r="CB6" s="11"/>
      <c r="CC6" s="11"/>
      <c r="CD6" s="8"/>
      <c r="CE6" s="11">
        <v>1</v>
      </c>
      <c r="CF6" s="11"/>
      <c r="CG6" s="11"/>
      <c r="CH6" s="11"/>
      <c r="CI6" s="11"/>
      <c r="CJ6" s="11"/>
      <c r="CK6" s="8"/>
      <c r="CL6" s="11">
        <v>2</v>
      </c>
      <c r="CM6" s="11"/>
      <c r="CN6" s="11"/>
      <c r="CO6" s="11"/>
      <c r="CP6" s="11"/>
      <c r="CQ6" s="11"/>
      <c r="CR6" s="8"/>
      <c r="CS6" s="11">
        <v>1</v>
      </c>
      <c r="CT6" s="11"/>
      <c r="CU6" s="11">
        <v>1</v>
      </c>
      <c r="CV6" s="11">
        <v>1</v>
      </c>
      <c r="CW6" s="11">
        <v>1</v>
      </c>
      <c r="CX6" s="11">
        <v>1</v>
      </c>
      <c r="CY6" s="8"/>
      <c r="CZ6" s="11">
        <v>1</v>
      </c>
      <c r="DA6" s="11"/>
      <c r="DB6" s="11"/>
      <c r="DC6" s="11"/>
      <c r="DD6" s="11"/>
      <c r="DE6" s="11"/>
      <c r="DF6" s="8"/>
      <c r="DG6" s="11"/>
      <c r="DH6" s="11"/>
      <c r="DI6" s="11"/>
      <c r="DJ6" s="11">
        <v>1</v>
      </c>
      <c r="DK6" s="11"/>
      <c r="DL6" s="11"/>
      <c r="DM6" s="8"/>
      <c r="DN6" s="11"/>
      <c r="DO6" s="11"/>
      <c r="DP6" s="11">
        <v>1</v>
      </c>
      <c r="DQ6" s="11">
        <v>1</v>
      </c>
      <c r="DR6" s="11"/>
      <c r="DS6" s="11"/>
      <c r="DT6" s="8"/>
      <c r="DU6" s="11"/>
      <c r="DV6" s="11"/>
      <c r="DW6" s="11"/>
      <c r="DX6" s="11"/>
      <c r="DY6" s="11"/>
      <c r="DZ6" s="11"/>
      <c r="EA6" s="8"/>
    </row>
    <row r="7" spans="1:131" ht="21" customHeight="1" thickBot="1" x14ac:dyDescent="0.3">
      <c r="A7" s="62"/>
      <c r="B7" s="2" t="s">
        <v>5</v>
      </c>
      <c r="C7" s="21" t="s">
        <v>24</v>
      </c>
      <c r="D7" s="21" t="s">
        <v>26</v>
      </c>
      <c r="E7" s="3"/>
      <c r="F7" s="4">
        <f>SUM(I7:EA7)</f>
        <v>41</v>
      </c>
      <c r="G7" s="5"/>
      <c r="H7" s="4"/>
      <c r="I7" s="10"/>
      <c r="J7" s="11"/>
      <c r="K7" s="11"/>
      <c r="L7" s="8"/>
      <c r="M7" s="11"/>
      <c r="N7" s="11"/>
      <c r="O7" s="11"/>
      <c r="P7" s="12"/>
      <c r="Q7" s="12"/>
      <c r="R7" s="11"/>
      <c r="S7" s="8"/>
      <c r="T7" s="11"/>
      <c r="U7" s="11"/>
      <c r="V7" s="11"/>
      <c r="W7" s="11"/>
      <c r="X7" s="11"/>
      <c r="Y7" s="11"/>
      <c r="Z7" s="8"/>
      <c r="AA7" s="11"/>
      <c r="AB7" s="11">
        <v>1</v>
      </c>
      <c r="AC7" s="11"/>
      <c r="AD7" s="11">
        <v>1</v>
      </c>
      <c r="AE7" s="11"/>
      <c r="AF7" s="11"/>
      <c r="AG7" s="8"/>
      <c r="AH7" s="11"/>
      <c r="AI7" s="11">
        <v>1</v>
      </c>
      <c r="AJ7" s="11"/>
      <c r="AK7" s="11">
        <v>1</v>
      </c>
      <c r="AL7" s="11"/>
      <c r="AM7" s="11"/>
      <c r="AN7" s="8"/>
      <c r="AO7" s="11"/>
      <c r="AP7" s="11"/>
      <c r="AQ7" s="11"/>
      <c r="AR7" s="11"/>
      <c r="AS7" s="11"/>
      <c r="AT7" s="11"/>
      <c r="AU7" s="8"/>
      <c r="AV7" s="11"/>
      <c r="AW7" s="11"/>
      <c r="AX7" s="11">
        <v>3</v>
      </c>
      <c r="AY7" s="11"/>
      <c r="AZ7" s="11">
        <v>1</v>
      </c>
      <c r="BA7" s="11"/>
      <c r="BB7" s="8"/>
      <c r="BC7" s="11">
        <v>1</v>
      </c>
      <c r="BD7" s="11"/>
      <c r="BE7" s="11"/>
      <c r="BF7" s="11"/>
      <c r="BG7" s="11">
        <v>1</v>
      </c>
      <c r="BH7" s="11"/>
      <c r="BI7" s="8"/>
      <c r="BJ7" s="11">
        <v>8</v>
      </c>
      <c r="BK7" s="11">
        <v>1</v>
      </c>
      <c r="BL7" s="11">
        <v>1</v>
      </c>
      <c r="BM7" s="11"/>
      <c r="BN7" s="11"/>
      <c r="BO7" s="11"/>
      <c r="BP7" s="8"/>
      <c r="BQ7" s="11">
        <v>1</v>
      </c>
      <c r="BR7" s="11"/>
      <c r="BS7" s="11">
        <v>1</v>
      </c>
      <c r="BT7" s="11">
        <v>1</v>
      </c>
      <c r="BU7" s="11"/>
      <c r="BV7" s="11"/>
      <c r="BW7" s="8"/>
      <c r="BX7" s="11"/>
      <c r="BY7" s="11"/>
      <c r="BZ7" s="11">
        <v>1</v>
      </c>
      <c r="CA7" s="11"/>
      <c r="CB7" s="11"/>
      <c r="CC7" s="11"/>
      <c r="CD7" s="8"/>
      <c r="CE7" s="11">
        <v>1</v>
      </c>
      <c r="CF7" s="11"/>
      <c r="CG7" s="11">
        <v>1</v>
      </c>
      <c r="CH7" s="11"/>
      <c r="CI7" s="11"/>
      <c r="CJ7" s="11"/>
      <c r="CK7" s="8"/>
      <c r="CL7" s="11">
        <v>1</v>
      </c>
      <c r="CM7" s="11"/>
      <c r="CN7" s="11"/>
      <c r="CO7" s="11"/>
      <c r="CP7" s="11"/>
      <c r="CQ7" s="11"/>
      <c r="CR7" s="8"/>
      <c r="CS7" s="11"/>
      <c r="CT7" s="11">
        <v>1</v>
      </c>
      <c r="CU7" s="11"/>
      <c r="CV7" s="11">
        <v>1</v>
      </c>
      <c r="CW7" s="11">
        <v>1</v>
      </c>
      <c r="CX7" s="11">
        <v>2</v>
      </c>
      <c r="CY7" s="8"/>
      <c r="CZ7" s="11">
        <v>1</v>
      </c>
      <c r="DA7" s="11"/>
      <c r="DB7" s="11"/>
      <c r="DC7" s="11"/>
      <c r="DD7" s="11"/>
      <c r="DE7" s="11"/>
      <c r="DF7" s="8"/>
      <c r="DG7" s="11"/>
      <c r="DH7" s="11"/>
      <c r="DI7" s="11">
        <v>4</v>
      </c>
      <c r="DJ7" s="11">
        <v>1</v>
      </c>
      <c r="DK7" s="11"/>
      <c r="DL7" s="11"/>
      <c r="DM7" s="8"/>
      <c r="DN7" s="11"/>
      <c r="DO7" s="11">
        <v>1</v>
      </c>
      <c r="DP7" s="11"/>
      <c r="DQ7" s="11">
        <v>1</v>
      </c>
      <c r="DR7" s="11"/>
      <c r="DS7" s="11"/>
      <c r="DT7" s="8"/>
      <c r="DU7" s="11"/>
      <c r="DV7" s="11">
        <v>1</v>
      </c>
      <c r="DW7" s="11"/>
      <c r="DX7" s="11"/>
      <c r="DY7" s="11"/>
      <c r="DZ7" s="11"/>
      <c r="EA7" s="8"/>
    </row>
    <row r="8" spans="1:131" ht="15.75" thickBot="1" x14ac:dyDescent="0.3">
      <c r="A8" s="62"/>
      <c r="B8" s="2" t="s">
        <v>6</v>
      </c>
      <c r="C8" s="21" t="s">
        <v>24</v>
      </c>
      <c r="D8" s="21" t="s">
        <v>26</v>
      </c>
      <c r="E8" s="3"/>
      <c r="F8" s="4">
        <f>SUM(I8:EA8)</f>
        <v>27</v>
      </c>
      <c r="G8" s="5"/>
      <c r="H8" s="4"/>
      <c r="I8" s="10"/>
      <c r="J8" s="11"/>
      <c r="K8" s="11"/>
      <c r="L8" s="8"/>
      <c r="M8" s="11"/>
      <c r="N8" s="11"/>
      <c r="O8" s="11"/>
      <c r="P8" s="12"/>
      <c r="Q8" s="12"/>
      <c r="R8" s="11"/>
      <c r="S8" s="8"/>
      <c r="T8" s="11"/>
      <c r="U8" s="11"/>
      <c r="V8" s="11"/>
      <c r="W8" s="11"/>
      <c r="X8" s="11"/>
      <c r="Y8" s="11"/>
      <c r="Z8" s="8"/>
      <c r="AA8" s="11"/>
      <c r="AB8" s="11"/>
      <c r="AC8" s="11"/>
      <c r="AD8" s="11"/>
      <c r="AE8" s="11"/>
      <c r="AF8" s="11"/>
      <c r="AG8" s="8"/>
      <c r="AH8" s="11"/>
      <c r="AI8" s="11"/>
      <c r="AJ8" s="11"/>
      <c r="AK8" s="11">
        <v>2</v>
      </c>
      <c r="AL8" s="11"/>
      <c r="AM8" s="11"/>
      <c r="AN8" s="8"/>
      <c r="AO8" s="11">
        <v>1</v>
      </c>
      <c r="AP8" s="11"/>
      <c r="AQ8" s="11"/>
      <c r="AR8" s="11">
        <v>1</v>
      </c>
      <c r="AS8" s="11">
        <v>1</v>
      </c>
      <c r="AT8" s="11"/>
      <c r="AU8" s="8"/>
      <c r="AV8" s="11"/>
      <c r="AW8" s="11"/>
      <c r="AX8" s="11"/>
      <c r="AY8" s="11"/>
      <c r="AZ8" s="11"/>
      <c r="BA8" s="11"/>
      <c r="BB8" s="8"/>
      <c r="BC8" s="11">
        <v>1</v>
      </c>
      <c r="BD8" s="11">
        <v>1</v>
      </c>
      <c r="BE8" s="11"/>
      <c r="BF8" s="11"/>
      <c r="BG8" s="11">
        <v>4</v>
      </c>
      <c r="BH8" s="11"/>
      <c r="BI8" s="8"/>
      <c r="BJ8" s="11"/>
      <c r="BK8" s="11">
        <v>1</v>
      </c>
      <c r="BL8" s="11"/>
      <c r="BM8" s="11"/>
      <c r="BN8" s="11"/>
      <c r="BO8" s="11"/>
      <c r="BP8" s="8"/>
      <c r="BQ8" s="11"/>
      <c r="BR8" s="11"/>
      <c r="BS8" s="11"/>
      <c r="BT8" s="11"/>
      <c r="BU8" s="11"/>
      <c r="BV8" s="11"/>
      <c r="BW8" s="8"/>
      <c r="BX8" s="11">
        <v>1</v>
      </c>
      <c r="BY8" s="11">
        <v>1</v>
      </c>
      <c r="BZ8" s="11"/>
      <c r="CA8" s="11">
        <v>1</v>
      </c>
      <c r="CB8" s="11">
        <v>2</v>
      </c>
      <c r="CC8" s="11"/>
      <c r="CD8" s="8"/>
      <c r="CE8" s="11"/>
      <c r="CF8" s="11"/>
      <c r="CG8" s="11"/>
      <c r="CH8" s="11"/>
      <c r="CI8" s="11"/>
      <c r="CJ8" s="11"/>
      <c r="CK8" s="8"/>
      <c r="CL8" s="11"/>
      <c r="CM8" s="11"/>
      <c r="CN8" s="11"/>
      <c r="CO8" s="11"/>
      <c r="CP8" s="11">
        <v>1</v>
      </c>
      <c r="CQ8" s="11"/>
      <c r="CR8" s="8"/>
      <c r="CS8" s="11"/>
      <c r="CT8" s="11"/>
      <c r="CU8" s="11">
        <v>1</v>
      </c>
      <c r="CV8" s="11">
        <v>1</v>
      </c>
      <c r="CW8" s="11"/>
      <c r="CX8" s="11">
        <v>1</v>
      </c>
      <c r="CY8" s="8"/>
      <c r="CZ8" s="11">
        <v>1</v>
      </c>
      <c r="DA8" s="11"/>
      <c r="DB8" s="11">
        <v>1</v>
      </c>
      <c r="DC8" s="11"/>
      <c r="DD8" s="11">
        <v>1</v>
      </c>
      <c r="DE8" s="11"/>
      <c r="DF8" s="8"/>
      <c r="DG8" s="11"/>
      <c r="DH8" s="11"/>
      <c r="DI8" s="11"/>
      <c r="DJ8" s="11">
        <v>1</v>
      </c>
      <c r="DK8" s="11"/>
      <c r="DL8" s="11"/>
      <c r="DM8" s="8"/>
      <c r="DN8" s="11"/>
      <c r="DO8" s="11"/>
      <c r="DP8" s="11"/>
      <c r="DQ8" s="11"/>
      <c r="DR8" s="11">
        <v>2</v>
      </c>
      <c r="DS8" s="11"/>
      <c r="DT8" s="8"/>
      <c r="DU8" s="11"/>
      <c r="DV8" s="11"/>
      <c r="DW8" s="11"/>
      <c r="DX8" s="11"/>
      <c r="DY8" s="11"/>
      <c r="DZ8" s="11"/>
      <c r="EA8" s="8"/>
    </row>
    <row r="9" spans="1:131" ht="15.75" thickBot="1" x14ac:dyDescent="0.3">
      <c r="A9" s="74" t="s">
        <v>0</v>
      </c>
      <c r="B9" s="76"/>
      <c r="C9" s="13"/>
      <c r="D9" s="13"/>
      <c r="E9" s="14">
        <f>SUM(E5:E8)</f>
        <v>0</v>
      </c>
      <c r="F9" s="14">
        <f t="shared" ref="F9" si="0">SUM(I9:CY9)</f>
        <v>102</v>
      </c>
      <c r="G9" s="14">
        <f>SUM(G5:G8)</f>
        <v>0</v>
      </c>
      <c r="H9" s="14">
        <f>SUM(H5:H8)</f>
        <v>0</v>
      </c>
      <c r="I9" s="14">
        <f>SUM(I5:I8)</f>
        <v>0</v>
      </c>
      <c r="J9" s="14">
        <f>SUM(J5:J8)</f>
        <v>0</v>
      </c>
      <c r="K9" s="14">
        <f>SUM(K5:K8)</f>
        <v>2</v>
      </c>
      <c r="L9" s="14"/>
      <c r="M9" s="14">
        <f t="shared" ref="M9:R9" si="1">SUM(M5:M8)</f>
        <v>0</v>
      </c>
      <c r="N9" s="14">
        <f t="shared" si="1"/>
        <v>0</v>
      </c>
      <c r="O9" s="14">
        <f t="shared" si="1"/>
        <v>1</v>
      </c>
      <c r="P9" s="14">
        <f t="shared" si="1"/>
        <v>0</v>
      </c>
      <c r="Q9" s="14">
        <f t="shared" si="1"/>
        <v>0</v>
      </c>
      <c r="R9" s="14">
        <f t="shared" si="1"/>
        <v>1</v>
      </c>
      <c r="S9" s="14"/>
      <c r="T9" s="14">
        <f t="shared" ref="T9:Y9" si="2">SUM(T5:T8)</f>
        <v>1</v>
      </c>
      <c r="U9" s="14">
        <f t="shared" si="2"/>
        <v>0</v>
      </c>
      <c r="V9" s="14">
        <f t="shared" si="2"/>
        <v>0</v>
      </c>
      <c r="W9" s="14">
        <f t="shared" si="2"/>
        <v>0</v>
      </c>
      <c r="X9" s="14">
        <f t="shared" si="2"/>
        <v>2</v>
      </c>
      <c r="Y9" s="14">
        <f t="shared" si="2"/>
        <v>0</v>
      </c>
      <c r="Z9" s="14"/>
      <c r="AA9" s="14">
        <f t="shared" ref="AA9:AF9" si="3">SUM(AA5:AA8)</f>
        <v>2</v>
      </c>
      <c r="AB9" s="14">
        <f t="shared" si="3"/>
        <v>1</v>
      </c>
      <c r="AC9" s="14">
        <f t="shared" si="3"/>
        <v>2</v>
      </c>
      <c r="AD9" s="14">
        <f t="shared" si="3"/>
        <v>3</v>
      </c>
      <c r="AE9" s="14">
        <f t="shared" si="3"/>
        <v>1</v>
      </c>
      <c r="AF9" s="14">
        <f t="shared" si="3"/>
        <v>0</v>
      </c>
      <c r="AG9" s="14"/>
      <c r="AH9" s="14">
        <f t="shared" ref="AH9:AM9" si="4">SUM(AH5:AH8)</f>
        <v>2</v>
      </c>
      <c r="AI9" s="14">
        <f t="shared" si="4"/>
        <v>1</v>
      </c>
      <c r="AJ9" s="14">
        <f t="shared" si="4"/>
        <v>1</v>
      </c>
      <c r="AK9" s="14">
        <f t="shared" si="4"/>
        <v>3</v>
      </c>
      <c r="AL9" s="14">
        <f t="shared" si="4"/>
        <v>1</v>
      </c>
      <c r="AM9" s="14">
        <f t="shared" si="4"/>
        <v>0</v>
      </c>
      <c r="AN9" s="14"/>
      <c r="AO9" s="14">
        <f t="shared" ref="AO9:AT9" si="5">SUM(AO5:AO8)</f>
        <v>1</v>
      </c>
      <c r="AP9" s="14">
        <f t="shared" si="5"/>
        <v>0</v>
      </c>
      <c r="AQ9" s="14">
        <f t="shared" si="5"/>
        <v>0</v>
      </c>
      <c r="AR9" s="14">
        <f t="shared" si="5"/>
        <v>2</v>
      </c>
      <c r="AS9" s="14">
        <f t="shared" si="5"/>
        <v>2</v>
      </c>
      <c r="AT9" s="14">
        <f t="shared" si="5"/>
        <v>0</v>
      </c>
      <c r="AU9" s="14"/>
      <c r="AV9" s="14">
        <f t="shared" ref="AV9:BA9" si="6">SUM(AV5:AV8)</f>
        <v>1</v>
      </c>
      <c r="AW9" s="14">
        <f t="shared" si="6"/>
        <v>0</v>
      </c>
      <c r="AX9" s="14">
        <f t="shared" si="6"/>
        <v>5</v>
      </c>
      <c r="AY9" s="14">
        <f t="shared" si="6"/>
        <v>0</v>
      </c>
      <c r="AZ9" s="14">
        <f t="shared" si="6"/>
        <v>2</v>
      </c>
      <c r="BA9" s="14">
        <f t="shared" si="6"/>
        <v>0</v>
      </c>
      <c r="BB9" s="14"/>
      <c r="BC9" s="14">
        <f t="shared" ref="BC9:BH9" si="7">SUM(BC5:BC8)</f>
        <v>3</v>
      </c>
      <c r="BD9" s="14">
        <f t="shared" si="7"/>
        <v>1</v>
      </c>
      <c r="BE9" s="14">
        <f t="shared" si="7"/>
        <v>0</v>
      </c>
      <c r="BF9" s="14">
        <f t="shared" si="7"/>
        <v>0</v>
      </c>
      <c r="BG9" s="14">
        <f t="shared" si="7"/>
        <v>6</v>
      </c>
      <c r="BH9" s="14">
        <f t="shared" si="7"/>
        <v>0</v>
      </c>
      <c r="BI9" s="14"/>
      <c r="BJ9" s="14">
        <f t="shared" ref="BJ9:BO9" si="8">SUM(BJ5:BJ8)</f>
        <v>8</v>
      </c>
      <c r="BK9" s="14">
        <f t="shared" si="8"/>
        <v>2</v>
      </c>
      <c r="BL9" s="14">
        <f t="shared" si="8"/>
        <v>1</v>
      </c>
      <c r="BM9" s="14">
        <f t="shared" si="8"/>
        <v>3</v>
      </c>
      <c r="BN9" s="14">
        <f t="shared" si="8"/>
        <v>0</v>
      </c>
      <c r="BO9" s="14">
        <f t="shared" si="8"/>
        <v>0</v>
      </c>
      <c r="BP9" s="14"/>
      <c r="BQ9" s="14">
        <f t="shared" ref="BQ9:BV9" si="9">SUM(BQ5:BQ8)</f>
        <v>1</v>
      </c>
      <c r="BR9" s="14">
        <f t="shared" si="9"/>
        <v>0</v>
      </c>
      <c r="BS9" s="14">
        <f t="shared" si="9"/>
        <v>2</v>
      </c>
      <c r="BT9" s="14">
        <f t="shared" si="9"/>
        <v>2</v>
      </c>
      <c r="BU9" s="14">
        <f t="shared" si="9"/>
        <v>3</v>
      </c>
      <c r="BV9" s="14">
        <f t="shared" si="9"/>
        <v>0</v>
      </c>
      <c r="BW9" s="14"/>
      <c r="BX9" s="14">
        <f t="shared" ref="BX9:CC9" si="10">SUM(BX5:BX8)</f>
        <v>1</v>
      </c>
      <c r="BY9" s="14">
        <f t="shared" si="10"/>
        <v>2</v>
      </c>
      <c r="BZ9" s="14">
        <f t="shared" si="10"/>
        <v>2</v>
      </c>
      <c r="CA9" s="14">
        <f t="shared" si="10"/>
        <v>3</v>
      </c>
      <c r="CB9" s="14">
        <f t="shared" si="10"/>
        <v>2</v>
      </c>
      <c r="CC9" s="14">
        <f t="shared" si="10"/>
        <v>0</v>
      </c>
      <c r="CD9" s="14"/>
      <c r="CE9" s="14">
        <f t="shared" ref="CE9:CJ9" si="11">SUM(CE5:CE8)</f>
        <v>2</v>
      </c>
      <c r="CF9" s="14">
        <f t="shared" si="11"/>
        <v>0</v>
      </c>
      <c r="CG9" s="14">
        <f t="shared" si="11"/>
        <v>1</v>
      </c>
      <c r="CH9" s="14">
        <f t="shared" si="11"/>
        <v>0</v>
      </c>
      <c r="CI9" s="14">
        <f t="shared" si="11"/>
        <v>0</v>
      </c>
      <c r="CJ9" s="14">
        <f t="shared" si="11"/>
        <v>0</v>
      </c>
      <c r="CK9" s="14"/>
      <c r="CL9" s="14">
        <f t="shared" ref="CL9:CQ9" si="12">SUM(CL5:CL8)</f>
        <v>3</v>
      </c>
      <c r="CM9" s="14">
        <f t="shared" si="12"/>
        <v>0</v>
      </c>
      <c r="CN9" s="14">
        <f t="shared" si="12"/>
        <v>3</v>
      </c>
      <c r="CO9" s="14">
        <f t="shared" si="12"/>
        <v>0</v>
      </c>
      <c r="CP9" s="14">
        <f t="shared" si="12"/>
        <v>1</v>
      </c>
      <c r="CQ9" s="14">
        <f t="shared" si="12"/>
        <v>0</v>
      </c>
      <c r="CR9" s="14"/>
      <c r="CS9" s="14">
        <f t="shared" ref="CS9:CX9" si="13">SUM(CS5:CS8)</f>
        <v>1</v>
      </c>
      <c r="CT9" s="14">
        <f t="shared" si="13"/>
        <v>1</v>
      </c>
      <c r="CU9" s="14">
        <f t="shared" si="13"/>
        <v>2</v>
      </c>
      <c r="CV9" s="14">
        <f t="shared" si="13"/>
        <v>3</v>
      </c>
      <c r="CW9" s="14">
        <f t="shared" si="13"/>
        <v>2</v>
      </c>
      <c r="CX9" s="14">
        <f t="shared" si="13"/>
        <v>4</v>
      </c>
      <c r="CY9" s="14"/>
      <c r="CZ9" s="14">
        <f t="shared" ref="CZ9" si="14">SUM(CZ5:CZ8)</f>
        <v>3</v>
      </c>
      <c r="DA9" s="14">
        <f t="shared" ref="DA9" si="15">SUM(DA5:DA8)</f>
        <v>0</v>
      </c>
      <c r="DB9" s="14">
        <f t="shared" ref="DB9" si="16">SUM(DB5:DB8)</f>
        <v>1</v>
      </c>
      <c r="DC9" s="14">
        <f t="shared" ref="DC9" si="17">SUM(DC5:DC8)</f>
        <v>0</v>
      </c>
      <c r="DD9" s="14">
        <f t="shared" ref="DD9" si="18">SUM(DD5:DD8)</f>
        <v>1</v>
      </c>
      <c r="DE9" s="14">
        <f t="shared" ref="DE9" si="19">SUM(DE5:DE8)</f>
        <v>0</v>
      </c>
      <c r="DF9" s="14"/>
      <c r="DG9" s="14">
        <f t="shared" ref="DG9" si="20">SUM(DG5:DG8)</f>
        <v>1</v>
      </c>
      <c r="DH9" s="14">
        <f t="shared" ref="DH9" si="21">SUM(DH5:DH8)</f>
        <v>0</v>
      </c>
      <c r="DI9" s="14">
        <f t="shared" ref="DI9" si="22">SUM(DI5:DI8)</f>
        <v>4</v>
      </c>
      <c r="DJ9" s="14">
        <f t="shared" ref="DJ9" si="23">SUM(DJ5:DJ8)</f>
        <v>3</v>
      </c>
      <c r="DK9" s="14">
        <f t="shared" ref="DK9" si="24">SUM(DK5:DK8)</f>
        <v>0</v>
      </c>
      <c r="DL9" s="14">
        <f t="shared" ref="DL9" si="25">SUM(DL5:DL8)</f>
        <v>0</v>
      </c>
      <c r="DM9" s="14"/>
      <c r="DN9" s="14">
        <f t="shared" ref="DN9" si="26">SUM(DN5:DN8)</f>
        <v>1</v>
      </c>
      <c r="DO9" s="14">
        <f t="shared" ref="DO9" si="27">SUM(DO5:DO8)</f>
        <v>1</v>
      </c>
      <c r="DP9" s="14">
        <f t="shared" ref="DP9" si="28">SUM(DP5:DP8)</f>
        <v>1</v>
      </c>
      <c r="DQ9" s="14">
        <f t="shared" ref="DQ9" si="29">SUM(DQ5:DQ8)</f>
        <v>2</v>
      </c>
      <c r="DR9" s="14">
        <f t="shared" ref="DR9" si="30">SUM(DR5:DR8)</f>
        <v>2</v>
      </c>
      <c r="DS9" s="14">
        <f t="shared" ref="DS9" si="31">SUM(DS5:DS8)</f>
        <v>0</v>
      </c>
      <c r="DT9" s="14"/>
      <c r="DU9" s="14">
        <f t="shared" ref="DU9" si="32">SUM(DU5:DU8)</f>
        <v>0</v>
      </c>
      <c r="DV9" s="14">
        <f t="shared" ref="DV9" si="33">SUM(DV5:DV8)</f>
        <v>1</v>
      </c>
      <c r="DW9" s="14">
        <f t="shared" ref="DW9" si="34">SUM(DW5:DW8)</f>
        <v>0</v>
      </c>
      <c r="DX9" s="14">
        <f t="shared" ref="DX9" si="35">SUM(DX5:DX8)</f>
        <v>0</v>
      </c>
      <c r="DY9" s="14">
        <f t="shared" ref="DY9" si="36">SUM(DY5:DY8)</f>
        <v>0</v>
      </c>
      <c r="DZ9" s="14">
        <f t="shared" ref="DZ9" si="37">SUM(DZ5:DZ8)</f>
        <v>0</v>
      </c>
      <c r="EA9" s="14"/>
    </row>
    <row r="10" spans="1:131" ht="15.75" thickBot="1" x14ac:dyDescent="0.3">
      <c r="A10" s="15"/>
      <c r="B10" s="15"/>
      <c r="D10" s="15"/>
      <c r="E10" s="15"/>
      <c r="F10" s="16"/>
      <c r="G10" s="16"/>
      <c r="H10" s="16"/>
      <c r="I10" s="26"/>
      <c r="J10" s="27"/>
      <c r="K10" s="27"/>
      <c r="L10" s="27"/>
      <c r="M10" s="27"/>
      <c r="N10" s="27"/>
      <c r="O10" s="27"/>
      <c r="P10" s="26"/>
      <c r="Q10" s="26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</row>
    <row r="11" spans="1:131" ht="15.75" thickBot="1" x14ac:dyDescent="0.3">
      <c r="A11" s="61" t="s">
        <v>37</v>
      </c>
      <c r="B11" s="2" t="s">
        <v>3</v>
      </c>
      <c r="C11" s="2" t="s">
        <v>23</v>
      </c>
      <c r="D11" s="21" t="s">
        <v>26</v>
      </c>
      <c r="E11" s="23">
        <v>5</v>
      </c>
      <c r="F11" s="18">
        <f>SUM(I11:EA11)</f>
        <v>19</v>
      </c>
      <c r="G11" s="19">
        <v>3</v>
      </c>
      <c r="H11" s="17">
        <v>1</v>
      </c>
      <c r="I11" s="6"/>
      <c r="J11" s="7"/>
      <c r="K11" s="7">
        <v>1</v>
      </c>
      <c r="L11" s="8"/>
      <c r="M11" s="7">
        <v>1</v>
      </c>
      <c r="N11" s="7">
        <v>1</v>
      </c>
      <c r="O11" s="7">
        <v>1</v>
      </c>
      <c r="P11" s="9">
        <v>1</v>
      </c>
      <c r="Q11" s="9">
        <v>1</v>
      </c>
      <c r="R11" s="7">
        <v>1</v>
      </c>
      <c r="S11" s="8"/>
      <c r="T11" s="7">
        <v>1</v>
      </c>
      <c r="U11" s="7"/>
      <c r="V11" s="7">
        <v>1</v>
      </c>
      <c r="W11" s="7">
        <v>1</v>
      </c>
      <c r="X11" s="7"/>
      <c r="Y11" s="7"/>
      <c r="Z11" s="8"/>
      <c r="AA11" s="7"/>
      <c r="AB11" s="7"/>
      <c r="AC11" s="7"/>
      <c r="AD11" s="7"/>
      <c r="AE11" s="7"/>
      <c r="AF11" s="7">
        <v>1</v>
      </c>
      <c r="AG11" s="8"/>
      <c r="AH11" s="7">
        <v>1</v>
      </c>
      <c r="AI11" s="7"/>
      <c r="AJ11" s="7"/>
      <c r="AK11" s="7"/>
      <c r="AL11" s="7"/>
      <c r="AM11" s="7">
        <v>1</v>
      </c>
      <c r="AN11" s="8"/>
      <c r="AO11" s="7"/>
      <c r="AP11" s="7"/>
      <c r="AQ11" s="7"/>
      <c r="AR11" s="7"/>
      <c r="AS11" s="7"/>
      <c r="AT11" s="7">
        <v>1</v>
      </c>
      <c r="AU11" s="8"/>
      <c r="AV11" s="7"/>
      <c r="AW11" s="7"/>
      <c r="AX11" s="7"/>
      <c r="AY11" s="7"/>
      <c r="AZ11" s="7"/>
      <c r="BA11" s="7"/>
      <c r="BB11" s="8"/>
      <c r="BC11" s="7"/>
      <c r="BD11" s="7"/>
      <c r="BE11" s="7"/>
      <c r="BF11" s="7"/>
      <c r="BG11" s="7"/>
      <c r="BH11" s="7"/>
      <c r="BI11" s="8"/>
      <c r="BJ11" s="7"/>
      <c r="BK11" s="7"/>
      <c r="BL11" s="7"/>
      <c r="BM11" s="7"/>
      <c r="BN11" s="7"/>
      <c r="BO11" s="7"/>
      <c r="BP11" s="8"/>
      <c r="BQ11" s="7"/>
      <c r="BR11" s="7"/>
      <c r="BS11" s="7"/>
      <c r="BT11" s="7"/>
      <c r="BU11" s="7"/>
      <c r="BV11" s="7"/>
      <c r="BW11" s="8"/>
      <c r="BX11" s="7"/>
      <c r="BY11" s="7"/>
      <c r="BZ11" s="7"/>
      <c r="CA11" s="7"/>
      <c r="CB11" s="7"/>
      <c r="CC11" s="7"/>
      <c r="CD11" s="8"/>
      <c r="CE11" s="7"/>
      <c r="CF11" s="7">
        <v>1</v>
      </c>
      <c r="CG11" s="7">
        <v>2</v>
      </c>
      <c r="CH11" s="7"/>
      <c r="CI11" s="7"/>
      <c r="CJ11" s="7"/>
      <c r="CK11" s="8"/>
      <c r="CL11" s="7"/>
      <c r="CM11" s="7"/>
      <c r="CN11" s="7"/>
      <c r="CO11" s="7"/>
      <c r="CP11" s="7"/>
      <c r="CQ11" s="7"/>
      <c r="CR11" s="8"/>
      <c r="CS11" s="7"/>
      <c r="CT11" s="7"/>
      <c r="CU11" s="7"/>
      <c r="CV11" s="7"/>
      <c r="CW11" s="7"/>
      <c r="CX11" s="7"/>
      <c r="CY11" s="8"/>
      <c r="CZ11" s="7"/>
      <c r="DA11" s="7"/>
      <c r="DB11" s="7"/>
      <c r="DC11" s="7"/>
      <c r="DD11" s="7"/>
      <c r="DE11" s="7"/>
      <c r="DF11" s="8"/>
      <c r="DG11" s="7"/>
      <c r="DH11" s="7"/>
      <c r="DI11" s="7"/>
      <c r="DJ11" s="7"/>
      <c r="DK11" s="7"/>
      <c r="DL11" s="7"/>
      <c r="DM11" s="8"/>
      <c r="DN11" s="7">
        <v>1</v>
      </c>
      <c r="DO11" s="7"/>
      <c r="DP11" s="7">
        <v>1</v>
      </c>
      <c r="DQ11" s="7"/>
      <c r="DR11" s="7"/>
      <c r="DS11" s="7"/>
      <c r="DT11" s="8"/>
      <c r="DU11" s="7"/>
      <c r="DV11" s="7"/>
      <c r="DW11" s="7"/>
      <c r="DX11" s="7"/>
      <c r="DY11" s="7"/>
      <c r="DZ11" s="7"/>
      <c r="EA11" s="8"/>
    </row>
    <row r="12" spans="1:131" ht="15.75" thickBot="1" x14ac:dyDescent="0.3">
      <c r="A12" s="62"/>
      <c r="B12" s="2" t="s">
        <v>8</v>
      </c>
      <c r="C12" s="2" t="s">
        <v>25</v>
      </c>
      <c r="D12" s="2" t="s">
        <v>26</v>
      </c>
      <c r="E12" s="4">
        <v>5</v>
      </c>
      <c r="F12" s="28">
        <f>SUM(I12:EA12)</f>
        <v>23</v>
      </c>
      <c r="G12" s="29">
        <v>3</v>
      </c>
      <c r="H12" s="29">
        <v>1</v>
      </c>
      <c r="I12" s="30"/>
      <c r="J12" s="31"/>
      <c r="K12" s="31"/>
      <c r="L12" s="32"/>
      <c r="M12" s="31">
        <v>1</v>
      </c>
      <c r="N12" s="31"/>
      <c r="O12" s="31"/>
      <c r="P12" s="33">
        <v>1</v>
      </c>
      <c r="Q12" s="33">
        <v>1</v>
      </c>
      <c r="R12" s="31"/>
      <c r="S12" s="32"/>
      <c r="T12" s="31"/>
      <c r="U12" s="31">
        <v>2</v>
      </c>
      <c r="V12" s="31"/>
      <c r="W12" s="31">
        <v>1</v>
      </c>
      <c r="X12" s="31"/>
      <c r="Y12" s="31"/>
      <c r="Z12" s="32"/>
      <c r="AA12" s="31"/>
      <c r="AB12" s="31"/>
      <c r="AC12" s="31"/>
      <c r="AD12" s="31"/>
      <c r="AE12" s="31"/>
      <c r="AF12" s="31"/>
      <c r="AG12" s="32"/>
      <c r="AH12" s="31">
        <v>1</v>
      </c>
      <c r="AI12" s="31">
        <v>1</v>
      </c>
      <c r="AJ12" s="31">
        <v>2</v>
      </c>
      <c r="AK12" s="31"/>
      <c r="AL12" s="31">
        <v>1</v>
      </c>
      <c r="AM12" s="31"/>
      <c r="AN12" s="32"/>
      <c r="AO12" s="31"/>
      <c r="AP12" s="31"/>
      <c r="AQ12" s="31"/>
      <c r="AR12" s="31"/>
      <c r="AS12" s="31"/>
      <c r="AT12" s="31"/>
      <c r="AU12" s="32"/>
      <c r="AV12" s="31">
        <v>1</v>
      </c>
      <c r="AW12" s="31"/>
      <c r="AX12" s="31"/>
      <c r="AY12" s="31"/>
      <c r="AZ12" s="31"/>
      <c r="BA12" s="31"/>
      <c r="BB12" s="32"/>
      <c r="BC12" s="31"/>
      <c r="BD12" s="31"/>
      <c r="BE12" s="31"/>
      <c r="BF12" s="31"/>
      <c r="BG12" s="31"/>
      <c r="BH12" s="31"/>
      <c r="BI12" s="32"/>
      <c r="BJ12" s="31"/>
      <c r="BK12" s="31"/>
      <c r="BL12" s="31"/>
      <c r="BM12" s="31"/>
      <c r="BN12" s="31"/>
      <c r="BO12" s="31"/>
      <c r="BP12" s="32"/>
      <c r="BQ12" s="31"/>
      <c r="BR12" s="31"/>
      <c r="BS12" s="31"/>
      <c r="BT12" s="31"/>
      <c r="BU12" s="31"/>
      <c r="BV12" s="31"/>
      <c r="BW12" s="32"/>
      <c r="BX12" s="31">
        <v>1</v>
      </c>
      <c r="BY12" s="31">
        <v>1</v>
      </c>
      <c r="BZ12" s="31"/>
      <c r="CA12" s="31"/>
      <c r="CB12" s="31"/>
      <c r="CC12" s="31"/>
      <c r="CD12" s="32"/>
      <c r="CE12" s="31"/>
      <c r="CF12" s="31"/>
      <c r="CG12" s="31"/>
      <c r="CH12" s="31"/>
      <c r="CI12" s="31">
        <v>1</v>
      </c>
      <c r="CJ12" s="31"/>
      <c r="CK12" s="32"/>
      <c r="CL12" s="31"/>
      <c r="CM12" s="31">
        <v>2</v>
      </c>
      <c r="CN12" s="31">
        <v>1</v>
      </c>
      <c r="CO12" s="31">
        <v>1</v>
      </c>
      <c r="CP12" s="31"/>
      <c r="CQ12" s="31"/>
      <c r="CR12" s="32"/>
      <c r="CS12" s="31"/>
      <c r="CT12" s="31"/>
      <c r="CU12" s="31"/>
      <c r="CV12" s="31"/>
      <c r="CW12" s="31"/>
      <c r="CX12" s="31"/>
      <c r="CY12" s="32"/>
      <c r="CZ12" s="31"/>
      <c r="DA12" s="31"/>
      <c r="DB12" s="31"/>
      <c r="DC12" s="31"/>
      <c r="DD12" s="31"/>
      <c r="DE12" s="31"/>
      <c r="DF12" s="32"/>
      <c r="DG12" s="31"/>
      <c r="DH12" s="31">
        <v>1</v>
      </c>
      <c r="DI12" s="31">
        <v>1</v>
      </c>
      <c r="DJ12" s="31"/>
      <c r="DK12" s="31"/>
      <c r="DL12" s="31"/>
      <c r="DM12" s="32"/>
      <c r="DN12" s="31"/>
      <c r="DO12" s="31">
        <v>1</v>
      </c>
      <c r="DP12" s="31"/>
      <c r="DQ12" s="31">
        <v>1</v>
      </c>
      <c r="DR12" s="31"/>
      <c r="DS12" s="31"/>
      <c r="DT12" s="32"/>
      <c r="DU12" s="31"/>
      <c r="DV12" s="31"/>
      <c r="DW12" s="31"/>
      <c r="DX12" s="31"/>
      <c r="DY12" s="31"/>
      <c r="DZ12" s="31"/>
      <c r="EA12" s="32"/>
    </row>
    <row r="13" spans="1:131" ht="15.75" thickBot="1" x14ac:dyDescent="0.3">
      <c r="A13" s="74" t="s">
        <v>0</v>
      </c>
      <c r="B13" s="76"/>
      <c r="C13" s="13"/>
      <c r="D13" s="13"/>
      <c r="E13" s="14">
        <f>SUM(E5:E8,E5,E5:E12)</f>
        <v>10</v>
      </c>
      <c r="F13" s="34">
        <f>SUM(F12,F9)</f>
        <v>125</v>
      </c>
      <c r="G13" s="35">
        <f t="shared" ref="G13:BR13" si="38">SUM(G12,G9)</f>
        <v>3</v>
      </c>
      <c r="H13" s="35">
        <f t="shared" si="38"/>
        <v>1</v>
      </c>
      <c r="I13" s="35">
        <f t="shared" si="38"/>
        <v>0</v>
      </c>
      <c r="J13" s="35">
        <f t="shared" si="38"/>
        <v>0</v>
      </c>
      <c r="K13" s="35">
        <f t="shared" si="38"/>
        <v>2</v>
      </c>
      <c r="L13" s="35">
        <f t="shared" si="38"/>
        <v>0</v>
      </c>
      <c r="M13" s="35">
        <f t="shared" si="38"/>
        <v>1</v>
      </c>
      <c r="N13" s="35">
        <f t="shared" si="38"/>
        <v>0</v>
      </c>
      <c r="O13" s="35">
        <f t="shared" si="38"/>
        <v>1</v>
      </c>
      <c r="P13" s="35">
        <f t="shared" si="38"/>
        <v>1</v>
      </c>
      <c r="Q13" s="35">
        <f t="shared" si="38"/>
        <v>1</v>
      </c>
      <c r="R13" s="35">
        <f t="shared" si="38"/>
        <v>1</v>
      </c>
      <c r="S13" s="35">
        <f t="shared" si="38"/>
        <v>0</v>
      </c>
      <c r="T13" s="35">
        <f t="shared" si="38"/>
        <v>1</v>
      </c>
      <c r="U13" s="35">
        <f t="shared" si="38"/>
        <v>2</v>
      </c>
      <c r="V13" s="35">
        <f t="shared" si="38"/>
        <v>0</v>
      </c>
      <c r="W13" s="35">
        <f t="shared" si="38"/>
        <v>1</v>
      </c>
      <c r="X13" s="35">
        <f t="shared" si="38"/>
        <v>2</v>
      </c>
      <c r="Y13" s="35">
        <f t="shared" si="38"/>
        <v>0</v>
      </c>
      <c r="Z13" s="35">
        <f t="shared" si="38"/>
        <v>0</v>
      </c>
      <c r="AA13" s="35">
        <f t="shared" si="38"/>
        <v>2</v>
      </c>
      <c r="AB13" s="35">
        <f t="shared" si="38"/>
        <v>1</v>
      </c>
      <c r="AC13" s="35">
        <f t="shared" si="38"/>
        <v>2</v>
      </c>
      <c r="AD13" s="35">
        <f t="shared" si="38"/>
        <v>3</v>
      </c>
      <c r="AE13" s="35">
        <f t="shared" si="38"/>
        <v>1</v>
      </c>
      <c r="AF13" s="35">
        <f t="shared" si="38"/>
        <v>0</v>
      </c>
      <c r="AG13" s="35">
        <f t="shared" si="38"/>
        <v>0</v>
      </c>
      <c r="AH13" s="35">
        <f t="shared" si="38"/>
        <v>3</v>
      </c>
      <c r="AI13" s="35">
        <f t="shared" si="38"/>
        <v>2</v>
      </c>
      <c r="AJ13" s="35">
        <f t="shared" si="38"/>
        <v>3</v>
      </c>
      <c r="AK13" s="35">
        <f t="shared" si="38"/>
        <v>3</v>
      </c>
      <c r="AL13" s="35">
        <f t="shared" si="38"/>
        <v>2</v>
      </c>
      <c r="AM13" s="35">
        <f t="shared" si="38"/>
        <v>0</v>
      </c>
      <c r="AN13" s="35">
        <f t="shared" si="38"/>
        <v>0</v>
      </c>
      <c r="AO13" s="35">
        <f t="shared" si="38"/>
        <v>1</v>
      </c>
      <c r="AP13" s="35">
        <f t="shared" si="38"/>
        <v>0</v>
      </c>
      <c r="AQ13" s="35">
        <f t="shared" si="38"/>
        <v>0</v>
      </c>
      <c r="AR13" s="35">
        <f t="shared" si="38"/>
        <v>2</v>
      </c>
      <c r="AS13" s="35">
        <f t="shared" si="38"/>
        <v>2</v>
      </c>
      <c r="AT13" s="35">
        <f t="shared" si="38"/>
        <v>0</v>
      </c>
      <c r="AU13" s="35">
        <f t="shared" si="38"/>
        <v>0</v>
      </c>
      <c r="AV13" s="35">
        <f t="shared" si="38"/>
        <v>2</v>
      </c>
      <c r="AW13" s="35">
        <f t="shared" si="38"/>
        <v>0</v>
      </c>
      <c r="AX13" s="35">
        <f t="shared" si="38"/>
        <v>5</v>
      </c>
      <c r="AY13" s="35">
        <f t="shared" si="38"/>
        <v>0</v>
      </c>
      <c r="AZ13" s="35">
        <f t="shared" si="38"/>
        <v>2</v>
      </c>
      <c r="BA13" s="35">
        <f t="shared" si="38"/>
        <v>0</v>
      </c>
      <c r="BB13" s="35">
        <f t="shared" si="38"/>
        <v>0</v>
      </c>
      <c r="BC13" s="35">
        <f t="shared" si="38"/>
        <v>3</v>
      </c>
      <c r="BD13" s="35">
        <f t="shared" si="38"/>
        <v>1</v>
      </c>
      <c r="BE13" s="35">
        <f t="shared" si="38"/>
        <v>0</v>
      </c>
      <c r="BF13" s="35">
        <f t="shared" si="38"/>
        <v>0</v>
      </c>
      <c r="BG13" s="35">
        <f t="shared" si="38"/>
        <v>6</v>
      </c>
      <c r="BH13" s="35">
        <f t="shared" si="38"/>
        <v>0</v>
      </c>
      <c r="BI13" s="35">
        <f t="shared" si="38"/>
        <v>0</v>
      </c>
      <c r="BJ13" s="35">
        <f t="shared" si="38"/>
        <v>8</v>
      </c>
      <c r="BK13" s="35">
        <f t="shared" si="38"/>
        <v>2</v>
      </c>
      <c r="BL13" s="35">
        <f t="shared" si="38"/>
        <v>1</v>
      </c>
      <c r="BM13" s="35">
        <f t="shared" si="38"/>
        <v>3</v>
      </c>
      <c r="BN13" s="35">
        <f t="shared" si="38"/>
        <v>0</v>
      </c>
      <c r="BO13" s="35">
        <f t="shared" si="38"/>
        <v>0</v>
      </c>
      <c r="BP13" s="35">
        <f t="shared" si="38"/>
        <v>0</v>
      </c>
      <c r="BQ13" s="35">
        <f t="shared" si="38"/>
        <v>1</v>
      </c>
      <c r="BR13" s="35">
        <f t="shared" si="38"/>
        <v>0</v>
      </c>
      <c r="BS13" s="35">
        <f t="shared" ref="BS13:CY13" si="39">SUM(BS12,BS9)</f>
        <v>2</v>
      </c>
      <c r="BT13" s="35">
        <f t="shared" si="39"/>
        <v>2</v>
      </c>
      <c r="BU13" s="35">
        <f t="shared" si="39"/>
        <v>3</v>
      </c>
      <c r="BV13" s="35">
        <f t="shared" si="39"/>
        <v>0</v>
      </c>
      <c r="BW13" s="35">
        <f t="shared" si="39"/>
        <v>0</v>
      </c>
      <c r="BX13" s="35">
        <f t="shared" si="39"/>
        <v>2</v>
      </c>
      <c r="BY13" s="35">
        <f t="shared" si="39"/>
        <v>3</v>
      </c>
      <c r="BZ13" s="35">
        <f t="shared" si="39"/>
        <v>2</v>
      </c>
      <c r="CA13" s="35">
        <f t="shared" si="39"/>
        <v>3</v>
      </c>
      <c r="CB13" s="35">
        <f t="shared" si="39"/>
        <v>2</v>
      </c>
      <c r="CC13" s="35">
        <f t="shared" si="39"/>
        <v>0</v>
      </c>
      <c r="CD13" s="35">
        <f t="shared" si="39"/>
        <v>0</v>
      </c>
      <c r="CE13" s="35">
        <f t="shared" si="39"/>
        <v>2</v>
      </c>
      <c r="CF13" s="35">
        <f t="shared" si="39"/>
        <v>0</v>
      </c>
      <c r="CG13" s="35">
        <f t="shared" si="39"/>
        <v>1</v>
      </c>
      <c r="CH13" s="35">
        <f t="shared" si="39"/>
        <v>0</v>
      </c>
      <c r="CI13" s="35">
        <f t="shared" si="39"/>
        <v>1</v>
      </c>
      <c r="CJ13" s="35">
        <f t="shared" si="39"/>
        <v>0</v>
      </c>
      <c r="CK13" s="35">
        <f t="shared" si="39"/>
        <v>0</v>
      </c>
      <c r="CL13" s="35">
        <f t="shared" si="39"/>
        <v>3</v>
      </c>
      <c r="CM13" s="35">
        <f t="shared" si="39"/>
        <v>2</v>
      </c>
      <c r="CN13" s="35">
        <f t="shared" si="39"/>
        <v>4</v>
      </c>
      <c r="CO13" s="35">
        <f t="shared" si="39"/>
        <v>1</v>
      </c>
      <c r="CP13" s="35">
        <f t="shared" si="39"/>
        <v>1</v>
      </c>
      <c r="CQ13" s="35">
        <f t="shared" si="39"/>
        <v>0</v>
      </c>
      <c r="CR13" s="35">
        <f t="shared" si="39"/>
        <v>0</v>
      </c>
      <c r="CS13" s="35">
        <f t="shared" si="39"/>
        <v>1</v>
      </c>
      <c r="CT13" s="35">
        <f t="shared" si="39"/>
        <v>1</v>
      </c>
      <c r="CU13" s="35">
        <f t="shared" si="39"/>
        <v>2</v>
      </c>
      <c r="CV13" s="35">
        <f t="shared" si="39"/>
        <v>3</v>
      </c>
      <c r="CW13" s="35">
        <f t="shared" si="39"/>
        <v>2</v>
      </c>
      <c r="CX13" s="35">
        <f t="shared" si="39"/>
        <v>4</v>
      </c>
      <c r="CY13" s="35">
        <f t="shared" si="39"/>
        <v>0</v>
      </c>
      <c r="CZ13" s="35">
        <f t="shared" ref="CZ13" si="40">SUM(CZ12,CZ9)</f>
        <v>3</v>
      </c>
      <c r="DA13" s="35">
        <f t="shared" ref="DA13" si="41">SUM(DA12,DA9)</f>
        <v>0</v>
      </c>
      <c r="DB13" s="35">
        <f t="shared" ref="DB13" si="42">SUM(DB12,DB9)</f>
        <v>1</v>
      </c>
      <c r="DC13" s="35">
        <f t="shared" ref="DC13" si="43">SUM(DC12,DC9)</f>
        <v>0</v>
      </c>
      <c r="DD13" s="35">
        <f t="shared" ref="DD13" si="44">SUM(DD12,DD9)</f>
        <v>1</v>
      </c>
      <c r="DE13" s="35">
        <f t="shared" ref="DE13" si="45">SUM(DE12,DE9)</f>
        <v>0</v>
      </c>
      <c r="DF13" s="35">
        <f t="shared" ref="DF13" si="46">SUM(DF12,DF9)</f>
        <v>0</v>
      </c>
      <c r="DG13" s="35">
        <f t="shared" ref="DG13" si="47">SUM(DG12,DG9)</f>
        <v>1</v>
      </c>
      <c r="DH13" s="35">
        <f t="shared" ref="DH13" si="48">SUM(DH12,DH9)</f>
        <v>1</v>
      </c>
      <c r="DI13" s="35">
        <f t="shared" ref="DI13" si="49">SUM(DI12,DI9)</f>
        <v>5</v>
      </c>
      <c r="DJ13" s="35">
        <f t="shared" ref="DJ13" si="50">SUM(DJ12,DJ9)</f>
        <v>3</v>
      </c>
      <c r="DK13" s="35">
        <f t="shared" ref="DK13" si="51">SUM(DK12,DK9)</f>
        <v>0</v>
      </c>
      <c r="DL13" s="35">
        <f t="shared" ref="DL13" si="52">SUM(DL12,DL9)</f>
        <v>0</v>
      </c>
      <c r="DM13" s="35">
        <f t="shared" ref="DM13" si="53">SUM(DM12,DM9)</f>
        <v>0</v>
      </c>
      <c r="DN13" s="35">
        <f t="shared" ref="DN13" si="54">SUM(DN12,DN9)</f>
        <v>1</v>
      </c>
      <c r="DO13" s="35">
        <f t="shared" ref="DO13" si="55">SUM(DO12,DO9)</f>
        <v>2</v>
      </c>
      <c r="DP13" s="35">
        <f t="shared" ref="DP13" si="56">SUM(DP12,DP9)</f>
        <v>1</v>
      </c>
      <c r="DQ13" s="35">
        <f t="shared" ref="DQ13" si="57">SUM(DQ12,DQ9)</f>
        <v>3</v>
      </c>
      <c r="DR13" s="35">
        <f t="shared" ref="DR13" si="58">SUM(DR12,DR9)</f>
        <v>2</v>
      </c>
      <c r="DS13" s="35">
        <f t="shared" ref="DS13" si="59">SUM(DS12,DS9)</f>
        <v>0</v>
      </c>
      <c r="DT13" s="35">
        <f t="shared" ref="DT13" si="60">SUM(DT12,DT9)</f>
        <v>0</v>
      </c>
      <c r="DU13" s="35">
        <f t="shared" ref="DU13" si="61">SUM(DU12,DU9)</f>
        <v>0</v>
      </c>
      <c r="DV13" s="35">
        <f t="shared" ref="DV13" si="62">SUM(DV12,DV9)</f>
        <v>1</v>
      </c>
      <c r="DW13" s="35">
        <f t="shared" ref="DW13" si="63">SUM(DW12,DW9)</f>
        <v>0</v>
      </c>
      <c r="DX13" s="35">
        <f t="shared" ref="DX13" si="64">SUM(DX12,DX9)</f>
        <v>0</v>
      </c>
      <c r="DY13" s="35">
        <f t="shared" ref="DY13" si="65">SUM(DY12,DY9)</f>
        <v>0</v>
      </c>
      <c r="DZ13" s="35">
        <f t="shared" ref="DZ13" si="66">SUM(DZ12,DZ9)</f>
        <v>0</v>
      </c>
      <c r="EA13" s="35">
        <f t="shared" ref="EA13" si="67">SUM(EA12,EA9)</f>
        <v>0</v>
      </c>
    </row>
    <row r="14" spans="1:131" ht="15.75" thickBot="1" x14ac:dyDescent="0.3">
      <c r="A14" s="74" t="s">
        <v>19</v>
      </c>
      <c r="B14" s="75"/>
      <c r="C14" s="75"/>
      <c r="D14" s="75"/>
      <c r="E14" s="76"/>
      <c r="F14" s="22"/>
      <c r="G14" s="70"/>
      <c r="H14" s="71"/>
      <c r="I14" s="22">
        <f>I13/H13</f>
        <v>0</v>
      </c>
      <c r="J14" s="22">
        <f>J13/H13</f>
        <v>0</v>
      </c>
      <c r="K14" s="22">
        <f>K13/H13</f>
        <v>2</v>
      </c>
      <c r="L14" s="22"/>
      <c r="M14" s="22">
        <f>M13/H13</f>
        <v>1</v>
      </c>
      <c r="N14" s="22">
        <f>N13/H13</f>
        <v>0</v>
      </c>
      <c r="O14" s="22">
        <f>O13/H13</f>
        <v>1</v>
      </c>
      <c r="P14" s="22">
        <f>P13/H13</f>
        <v>1</v>
      </c>
      <c r="Q14" s="22">
        <f>Q13/H13</f>
        <v>1</v>
      </c>
      <c r="R14" s="22">
        <f>R13/H13</f>
        <v>1</v>
      </c>
      <c r="S14" s="22"/>
      <c r="T14" s="22">
        <f>T13/H13</f>
        <v>1</v>
      </c>
      <c r="U14" s="22">
        <f>U13/H13</f>
        <v>2</v>
      </c>
      <c r="V14" s="22">
        <f>V13/H13</f>
        <v>0</v>
      </c>
      <c r="W14" s="22">
        <f>W13/H13</f>
        <v>1</v>
      </c>
      <c r="X14" s="22">
        <f>X13/H13</f>
        <v>2</v>
      </c>
      <c r="Y14" s="22">
        <v>0</v>
      </c>
      <c r="Z14" s="22"/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/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/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/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/>
      <c r="BC14" s="22">
        <v>0</v>
      </c>
      <c r="BD14" s="22">
        <v>0</v>
      </c>
      <c r="BE14" s="22">
        <v>0</v>
      </c>
      <c r="BF14" s="22">
        <v>0</v>
      </c>
      <c r="BG14" s="22">
        <v>0</v>
      </c>
      <c r="BH14" s="22">
        <v>0</v>
      </c>
      <c r="BI14" s="22"/>
      <c r="BJ14" s="22">
        <v>0</v>
      </c>
      <c r="BK14" s="22">
        <v>0</v>
      </c>
      <c r="BL14" s="22">
        <v>0</v>
      </c>
      <c r="BM14" s="22">
        <v>0</v>
      </c>
      <c r="BN14" s="22">
        <v>0</v>
      </c>
      <c r="BO14" s="22">
        <v>0</v>
      </c>
      <c r="BP14" s="22"/>
      <c r="BQ14" s="22">
        <v>0</v>
      </c>
      <c r="BR14" s="22">
        <v>0</v>
      </c>
      <c r="BS14" s="22">
        <v>0</v>
      </c>
      <c r="BT14" s="22">
        <v>0</v>
      </c>
      <c r="BU14" s="22">
        <v>0</v>
      </c>
      <c r="BV14" s="22">
        <v>0</v>
      </c>
      <c r="BW14" s="22"/>
      <c r="BX14" s="22">
        <v>0</v>
      </c>
      <c r="BY14" s="22">
        <v>0</v>
      </c>
      <c r="BZ14" s="22">
        <v>0</v>
      </c>
      <c r="CA14" s="22">
        <v>0</v>
      </c>
      <c r="CB14" s="22">
        <v>0</v>
      </c>
      <c r="CC14" s="22">
        <v>0</v>
      </c>
      <c r="CD14" s="22"/>
      <c r="CE14" s="22">
        <v>0</v>
      </c>
      <c r="CF14" s="22">
        <v>0</v>
      </c>
      <c r="CG14" s="22">
        <v>0</v>
      </c>
      <c r="CH14" s="22">
        <v>0</v>
      </c>
      <c r="CI14" s="22">
        <v>0</v>
      </c>
      <c r="CJ14" s="22">
        <v>0</v>
      </c>
      <c r="CK14" s="22"/>
      <c r="CL14" s="22">
        <v>0</v>
      </c>
      <c r="CM14" s="22">
        <v>0</v>
      </c>
      <c r="CN14" s="22">
        <v>0</v>
      </c>
      <c r="CO14" s="22">
        <v>0</v>
      </c>
      <c r="CP14" s="22">
        <v>0</v>
      </c>
      <c r="CQ14" s="22">
        <v>0</v>
      </c>
      <c r="CR14" s="22"/>
      <c r="CS14" s="22">
        <v>0</v>
      </c>
      <c r="CT14" s="22">
        <v>0</v>
      </c>
      <c r="CU14" s="22">
        <v>0</v>
      </c>
      <c r="CV14" s="22">
        <v>0</v>
      </c>
      <c r="CW14" s="22">
        <v>0</v>
      </c>
      <c r="CX14" s="22">
        <v>0</v>
      </c>
      <c r="CY14" s="22"/>
      <c r="CZ14" s="22">
        <v>0</v>
      </c>
      <c r="DA14" s="22">
        <v>0</v>
      </c>
      <c r="DB14" s="22">
        <v>0</v>
      </c>
      <c r="DC14" s="22">
        <v>0</v>
      </c>
      <c r="DD14" s="22">
        <v>0</v>
      </c>
      <c r="DE14" s="22">
        <v>0</v>
      </c>
      <c r="DF14" s="22"/>
      <c r="DG14" s="22">
        <v>0</v>
      </c>
      <c r="DH14" s="22">
        <v>0</v>
      </c>
      <c r="DI14" s="22">
        <v>0</v>
      </c>
      <c r="DJ14" s="22">
        <v>0</v>
      </c>
      <c r="DK14" s="22">
        <v>0</v>
      </c>
      <c r="DL14" s="22">
        <v>0</v>
      </c>
      <c r="DM14" s="22"/>
      <c r="DN14" s="22">
        <v>0</v>
      </c>
      <c r="DO14" s="22">
        <v>0</v>
      </c>
      <c r="DP14" s="22">
        <v>0</v>
      </c>
      <c r="DQ14" s="22">
        <v>0</v>
      </c>
      <c r="DR14" s="22">
        <v>0</v>
      </c>
      <c r="DS14" s="22">
        <v>0</v>
      </c>
      <c r="DT14" s="22"/>
      <c r="DU14" s="22">
        <v>0</v>
      </c>
      <c r="DV14" s="22">
        <v>0</v>
      </c>
      <c r="DW14" s="22">
        <v>0</v>
      </c>
      <c r="DX14" s="22">
        <v>0</v>
      </c>
      <c r="DY14" s="22">
        <v>0</v>
      </c>
      <c r="DZ14" s="22">
        <v>0</v>
      </c>
      <c r="EA14" s="22"/>
    </row>
    <row r="15" spans="1:131" ht="15.75" thickBot="1" x14ac:dyDescent="0.3">
      <c r="A15" s="74" t="s">
        <v>20</v>
      </c>
      <c r="B15" s="75"/>
      <c r="C15" s="75"/>
      <c r="D15" s="75"/>
      <c r="E15" s="76"/>
      <c r="F15" s="14"/>
      <c r="G15" s="72"/>
      <c r="H15" s="73"/>
      <c r="I15" s="14">
        <f>H13-H13</f>
        <v>0</v>
      </c>
      <c r="J15" s="14">
        <f>I13-H13</f>
        <v>-1</v>
      </c>
      <c r="K15" s="14">
        <f>J13-H13</f>
        <v>-1</v>
      </c>
      <c r="L15" s="14"/>
      <c r="M15" s="14">
        <f>L13-H13</f>
        <v>-1</v>
      </c>
      <c r="N15" s="14">
        <f>M13-H13</f>
        <v>0</v>
      </c>
      <c r="O15" s="14">
        <f>N13-H13</f>
        <v>-1</v>
      </c>
      <c r="P15" s="14">
        <f>O13-H13</f>
        <v>0</v>
      </c>
      <c r="Q15" s="14">
        <f>P13-H13</f>
        <v>0</v>
      </c>
      <c r="R15" s="14">
        <f>Q13-H13</f>
        <v>0</v>
      </c>
      <c r="S15" s="14"/>
      <c r="T15" s="14">
        <f>S13-H13</f>
        <v>-1</v>
      </c>
      <c r="U15" s="14">
        <f>T13-H13</f>
        <v>0</v>
      </c>
      <c r="V15" s="14">
        <f>U13-H13</f>
        <v>1</v>
      </c>
      <c r="W15" s="14">
        <f>V13-H13</f>
        <v>-1</v>
      </c>
      <c r="X15" s="14">
        <f>W13-H13</f>
        <v>0</v>
      </c>
      <c r="Y15" s="14">
        <v>0</v>
      </c>
      <c r="Z15" s="14"/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/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/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/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/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/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/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/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/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/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/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/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/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/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/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/>
    </row>
    <row r="16" spans="1:131" ht="15.75" thickBot="1" x14ac:dyDescent="0.3"/>
    <row r="17" spans="37:131" x14ac:dyDescent="0.25">
      <c r="AK17" s="7"/>
      <c r="AL17" s="7"/>
      <c r="AM17" s="7"/>
      <c r="AN17" s="8">
        <f t="shared" ref="AN17" si="68">SUM(AH17:AM17)</f>
        <v>0</v>
      </c>
      <c r="AO17" s="7"/>
      <c r="AP17" s="7"/>
      <c r="AQ17" s="7"/>
      <c r="AR17" s="7"/>
      <c r="AS17" s="7"/>
      <c r="AT17" s="7"/>
      <c r="AU17" s="8">
        <f t="shared" ref="AU17" si="69">SUM(AO17:AT17)</f>
        <v>0</v>
      </c>
      <c r="AV17" s="7"/>
      <c r="AW17" s="7"/>
      <c r="AX17" s="7"/>
      <c r="AY17" s="7"/>
      <c r="AZ17" s="7"/>
      <c r="BA17" s="7"/>
      <c r="BB17" s="8">
        <f t="shared" ref="BB17" si="70">SUM(AV17:BA17)</f>
        <v>0</v>
      </c>
      <c r="BC17" s="7"/>
      <c r="BD17" s="7"/>
      <c r="BE17" s="7"/>
      <c r="BF17" s="7"/>
      <c r="BG17" s="7"/>
      <c r="BH17" s="7"/>
      <c r="BI17" s="8">
        <f t="shared" ref="BI17" si="71">SUM(BC17:BH17)</f>
        <v>0</v>
      </c>
      <c r="BJ17" s="7"/>
      <c r="BK17" s="7"/>
      <c r="BL17" s="7"/>
      <c r="BM17" s="7"/>
      <c r="BN17" s="7"/>
      <c r="BO17" s="7"/>
      <c r="BP17" s="8">
        <f t="shared" ref="BP17" si="72">SUM(BJ17:BO17)</f>
        <v>0</v>
      </c>
      <c r="BQ17" s="7"/>
      <c r="BR17" s="7"/>
      <c r="BS17" s="7"/>
      <c r="BT17" s="7"/>
      <c r="BU17" s="7"/>
      <c r="BV17" s="7"/>
      <c r="BW17" s="8">
        <f t="shared" ref="BW17" si="73">SUM(BQ17:BV17)</f>
        <v>0</v>
      </c>
      <c r="BX17" s="7"/>
      <c r="BY17" s="7"/>
      <c r="BZ17" s="7"/>
      <c r="CA17" s="7"/>
      <c r="CB17" s="7"/>
      <c r="CC17" s="7"/>
      <c r="CD17" s="8">
        <f t="shared" ref="CD17" si="74">SUM(BX17:CC17)</f>
        <v>0</v>
      </c>
      <c r="CE17" s="7"/>
      <c r="CF17" s="7"/>
      <c r="CG17" s="7"/>
      <c r="CH17" s="7"/>
      <c r="CI17" s="7"/>
      <c r="CJ17" s="7"/>
      <c r="CK17" s="8">
        <f t="shared" ref="CK17" si="75">SUM(CE17:CJ17)</f>
        <v>0</v>
      </c>
      <c r="CL17" s="7"/>
      <c r="CM17" s="7"/>
      <c r="CN17" s="7"/>
      <c r="CO17" s="7"/>
      <c r="CP17" s="7"/>
      <c r="CQ17" s="7"/>
      <c r="CR17" s="8">
        <f t="shared" ref="CR17" si="76">SUM(CL17:CQ17)</f>
        <v>0</v>
      </c>
      <c r="CS17" s="7"/>
      <c r="CT17" s="7"/>
      <c r="CU17" s="7"/>
      <c r="CV17" s="7"/>
      <c r="CW17" s="7"/>
      <c r="CX17" s="7"/>
      <c r="CY17" s="8">
        <f t="shared" ref="CY17" si="77">SUM(CS17:CX17)</f>
        <v>0</v>
      </c>
      <c r="CZ17" s="7"/>
      <c r="DA17" s="7"/>
      <c r="DB17" s="7"/>
      <c r="DC17" s="7"/>
      <c r="DD17" s="7"/>
      <c r="DE17" s="7"/>
      <c r="DF17" s="8">
        <f t="shared" ref="DF17" si="78">SUM(CZ17:DE17)</f>
        <v>0</v>
      </c>
      <c r="DG17" s="7"/>
      <c r="DH17" s="7"/>
      <c r="DI17" s="7"/>
      <c r="DJ17" s="7"/>
      <c r="DK17" s="7"/>
      <c r="DL17" s="7"/>
      <c r="DM17" s="8">
        <f t="shared" ref="DM17" si="79">SUM(DG17:DL17)</f>
        <v>0</v>
      </c>
      <c r="DN17" s="7"/>
      <c r="DO17" s="7"/>
      <c r="DP17" s="7"/>
      <c r="DQ17" s="7"/>
      <c r="DR17" s="7"/>
      <c r="DS17" s="7"/>
      <c r="DT17" s="8">
        <f t="shared" ref="DT17" si="80">SUM(DN17:DS17)</f>
        <v>0</v>
      </c>
      <c r="DU17" s="7"/>
      <c r="DV17" s="7"/>
      <c r="DW17" s="7"/>
      <c r="DX17" s="7"/>
      <c r="DY17" s="7"/>
      <c r="DZ17" s="7"/>
      <c r="EA17" s="8">
        <f t="shared" ref="EA17" si="81">SUM(DU17:DZ17)</f>
        <v>0</v>
      </c>
    </row>
  </sheetData>
  <mergeCells count="51">
    <mergeCell ref="CE2:CK2"/>
    <mergeCell ref="CE4:CK4"/>
    <mergeCell ref="CL2:CR2"/>
    <mergeCell ref="CL4:CR4"/>
    <mergeCell ref="CS2:CY2"/>
    <mergeCell ref="CS4:CY4"/>
    <mergeCell ref="BJ2:BP2"/>
    <mergeCell ref="BJ4:BP4"/>
    <mergeCell ref="BQ2:BW2"/>
    <mergeCell ref="BQ4:BW4"/>
    <mergeCell ref="BX2:CD2"/>
    <mergeCell ref="BX4:CD4"/>
    <mergeCell ref="AO2:AU2"/>
    <mergeCell ref="AO4:AU4"/>
    <mergeCell ref="AV2:BB2"/>
    <mergeCell ref="AV4:BB4"/>
    <mergeCell ref="BC2:BI2"/>
    <mergeCell ref="BC4:BI4"/>
    <mergeCell ref="G14:H15"/>
    <mergeCell ref="A15:E15"/>
    <mergeCell ref="A9:B9"/>
    <mergeCell ref="A11:A12"/>
    <mergeCell ref="A13:B13"/>
    <mergeCell ref="A14:E14"/>
    <mergeCell ref="H1:H4"/>
    <mergeCell ref="I1:AL1"/>
    <mergeCell ref="I2:L2"/>
    <mergeCell ref="M2:S2"/>
    <mergeCell ref="T2:Z2"/>
    <mergeCell ref="AA2:AG2"/>
    <mergeCell ref="AH2:AN2"/>
    <mergeCell ref="I4:L4"/>
    <mergeCell ref="M4:S4"/>
    <mergeCell ref="T4:Z4"/>
    <mergeCell ref="AA4:AG4"/>
    <mergeCell ref="AH4:AN4"/>
    <mergeCell ref="B1:B4"/>
    <mergeCell ref="E1:E4"/>
    <mergeCell ref="F1:F4"/>
    <mergeCell ref="A6:A8"/>
    <mergeCell ref="G1:G4"/>
    <mergeCell ref="C1:C4"/>
    <mergeCell ref="D1:D4"/>
    <mergeCell ref="CZ4:DF4"/>
    <mergeCell ref="DG4:DM4"/>
    <mergeCell ref="DN4:DT4"/>
    <mergeCell ref="DU4:EA4"/>
    <mergeCell ref="CZ2:DF2"/>
    <mergeCell ref="DG2:DM2"/>
    <mergeCell ref="DN2:DT2"/>
    <mergeCell ref="DU2:EA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DAE5-A54A-4AAC-92C8-1EA3A3FE6BCB}">
  <dimension ref="A1:HH13"/>
  <sheetViews>
    <sheetView zoomScale="80" zoomScaleNormal="80" workbookViewId="0">
      <pane xSplit="5" ySplit="2" topLeftCell="HB3" activePane="bottomRight" state="frozen"/>
      <selection pane="topRight" activeCell="I1" sqref="I1"/>
      <selection pane="bottomLeft" activeCell="A3" sqref="A3"/>
      <selection pane="bottomRight" activeCell="CS3" sqref="CS3:HH13"/>
    </sheetView>
  </sheetViews>
  <sheetFormatPr baseColWidth="10" defaultRowHeight="15" x14ac:dyDescent="0.25"/>
  <sheetData>
    <row r="1" spans="1:216" ht="15.75" thickBot="1" x14ac:dyDescent="0.3">
      <c r="B1" s="58" t="s">
        <v>9</v>
      </c>
      <c r="C1" s="58" t="s">
        <v>22</v>
      </c>
      <c r="D1" s="58" t="s">
        <v>11</v>
      </c>
      <c r="E1" s="58" t="s">
        <v>13</v>
      </c>
      <c r="F1" s="63">
        <v>44927</v>
      </c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5"/>
    </row>
    <row r="2" spans="1:216" ht="15.75" thickBot="1" x14ac:dyDescent="0.3">
      <c r="B2" s="59"/>
      <c r="C2" s="59"/>
      <c r="D2" s="59"/>
      <c r="E2" s="59"/>
      <c r="F2" s="83" t="s">
        <v>42</v>
      </c>
      <c r="G2" s="84"/>
      <c r="H2" s="84"/>
      <c r="I2" s="84"/>
      <c r="J2" s="84"/>
      <c r="K2" s="84"/>
      <c r="L2" s="84"/>
      <c r="M2" s="83" t="s">
        <v>43</v>
      </c>
      <c r="N2" s="84"/>
      <c r="O2" s="84"/>
      <c r="P2" s="84"/>
      <c r="Q2" s="84"/>
      <c r="R2" s="84"/>
      <c r="S2" s="84"/>
      <c r="T2" s="83" t="s">
        <v>44</v>
      </c>
      <c r="U2" s="84"/>
      <c r="V2" s="84"/>
      <c r="W2" s="84"/>
      <c r="X2" s="84"/>
      <c r="Y2" s="84"/>
      <c r="Z2" s="84"/>
      <c r="AA2" s="83" t="s">
        <v>45</v>
      </c>
      <c r="AB2" s="84"/>
      <c r="AC2" s="84"/>
      <c r="AD2" s="84"/>
      <c r="AE2" s="84"/>
      <c r="AF2" s="84"/>
      <c r="AG2" s="84"/>
      <c r="AH2" s="83" t="s">
        <v>46</v>
      </c>
      <c r="AI2" s="84"/>
      <c r="AJ2" s="84"/>
      <c r="AK2" s="84"/>
      <c r="AL2" s="84"/>
      <c r="AM2" s="84"/>
      <c r="AN2" s="84"/>
    </row>
    <row r="3" spans="1:216" ht="15.75" thickBot="1" x14ac:dyDescent="0.3">
      <c r="B3" s="59"/>
      <c r="C3" s="59"/>
      <c r="D3" s="59"/>
      <c r="E3" s="59"/>
      <c r="F3" s="1">
        <v>44928</v>
      </c>
      <c r="G3" s="1">
        <v>44929</v>
      </c>
      <c r="H3" s="1">
        <v>44930</v>
      </c>
      <c r="I3" s="1">
        <v>44931</v>
      </c>
      <c r="J3" s="1">
        <v>44932</v>
      </c>
      <c r="K3" s="1">
        <v>44933</v>
      </c>
      <c r="L3" s="1">
        <v>44934</v>
      </c>
      <c r="M3" s="1">
        <v>44935</v>
      </c>
      <c r="N3" s="1">
        <v>44936</v>
      </c>
      <c r="O3" s="1">
        <v>44937</v>
      </c>
      <c r="P3" s="1">
        <v>44938</v>
      </c>
      <c r="Q3" s="1">
        <v>44939</v>
      </c>
      <c r="R3" s="1">
        <v>44940</v>
      </c>
      <c r="S3" s="1">
        <v>44941</v>
      </c>
      <c r="T3" s="1">
        <v>44942</v>
      </c>
      <c r="U3" s="1">
        <v>44943</v>
      </c>
      <c r="V3" s="1">
        <v>44944</v>
      </c>
      <c r="W3" s="1">
        <v>44945</v>
      </c>
      <c r="X3" s="1">
        <v>44946</v>
      </c>
      <c r="Y3" s="1">
        <v>44947</v>
      </c>
      <c r="Z3" s="1">
        <v>44948</v>
      </c>
      <c r="AA3" s="1">
        <v>44949</v>
      </c>
      <c r="AB3" s="1">
        <v>44950</v>
      </c>
      <c r="AC3" s="1">
        <v>44951</v>
      </c>
      <c r="AD3" s="1">
        <v>44952</v>
      </c>
      <c r="AE3" s="1">
        <v>44953</v>
      </c>
      <c r="AF3" s="1">
        <v>44954</v>
      </c>
      <c r="AG3" s="1">
        <v>44955</v>
      </c>
      <c r="AH3" s="1">
        <v>44956</v>
      </c>
      <c r="AI3" s="1">
        <v>44957</v>
      </c>
      <c r="AJ3" s="1">
        <v>44958</v>
      </c>
      <c r="AK3" s="1">
        <v>44959</v>
      </c>
      <c r="AL3" s="1">
        <v>44960</v>
      </c>
      <c r="AM3" s="1">
        <v>44961</v>
      </c>
      <c r="AN3" s="1">
        <v>44962</v>
      </c>
      <c r="AO3" s="1">
        <v>44963</v>
      </c>
      <c r="AP3" s="1">
        <v>44964</v>
      </c>
      <c r="AQ3" s="1">
        <v>44965</v>
      </c>
      <c r="AR3" s="1">
        <v>44966</v>
      </c>
      <c r="AS3" s="1">
        <v>44967</v>
      </c>
      <c r="AT3" s="1">
        <v>44968</v>
      </c>
      <c r="AU3" s="1">
        <v>44969</v>
      </c>
      <c r="AV3" s="42">
        <v>44970</v>
      </c>
      <c r="AW3" s="43">
        <v>44971</v>
      </c>
      <c r="AX3" s="43">
        <v>44972</v>
      </c>
      <c r="AY3" s="43">
        <v>44973</v>
      </c>
      <c r="AZ3" s="43">
        <v>44974</v>
      </c>
      <c r="BA3" s="43">
        <v>44975</v>
      </c>
      <c r="BB3" s="44">
        <v>44976</v>
      </c>
      <c r="BC3" s="44">
        <v>44977</v>
      </c>
      <c r="BD3" s="44">
        <v>44978</v>
      </c>
      <c r="BE3" s="44">
        <v>44979</v>
      </c>
      <c r="BF3" s="44">
        <v>44980</v>
      </c>
      <c r="BG3" s="44">
        <v>44981</v>
      </c>
      <c r="BH3" s="44">
        <v>44982</v>
      </c>
      <c r="BI3" s="44">
        <v>44983</v>
      </c>
      <c r="BJ3" s="44">
        <v>44984</v>
      </c>
      <c r="BK3" s="44">
        <v>44985</v>
      </c>
      <c r="BL3" s="44">
        <v>44986</v>
      </c>
      <c r="BM3" s="44">
        <v>44987</v>
      </c>
      <c r="BN3" s="44">
        <v>44988</v>
      </c>
      <c r="BO3" s="44">
        <v>44989</v>
      </c>
      <c r="BP3" s="44">
        <v>44990</v>
      </c>
      <c r="BQ3" s="44">
        <v>44991</v>
      </c>
      <c r="BR3" s="44">
        <v>44992</v>
      </c>
      <c r="BS3" s="44">
        <v>44993</v>
      </c>
      <c r="BT3" s="44">
        <v>44994</v>
      </c>
      <c r="BU3" s="44">
        <v>44995</v>
      </c>
      <c r="BV3" s="44">
        <v>44996</v>
      </c>
      <c r="BW3" s="44">
        <v>44997</v>
      </c>
      <c r="BX3" s="44">
        <v>44998</v>
      </c>
      <c r="BY3" s="44">
        <v>44999</v>
      </c>
      <c r="BZ3" s="44">
        <v>45000</v>
      </c>
      <c r="CA3" s="44">
        <v>45001</v>
      </c>
      <c r="CB3" s="44">
        <v>45002</v>
      </c>
      <c r="CC3" s="44">
        <v>45003</v>
      </c>
      <c r="CD3" s="44">
        <v>45004</v>
      </c>
      <c r="CE3" s="44">
        <v>45005</v>
      </c>
      <c r="CF3" s="44">
        <v>45006</v>
      </c>
      <c r="CG3" s="44">
        <v>45007</v>
      </c>
      <c r="CH3" s="44">
        <v>45008</v>
      </c>
      <c r="CI3" s="44">
        <v>45009</v>
      </c>
      <c r="CJ3" s="44">
        <v>45010</v>
      </c>
      <c r="CK3" s="44">
        <v>45011</v>
      </c>
      <c r="CL3" s="44">
        <v>45012</v>
      </c>
      <c r="CM3" s="44">
        <v>45013</v>
      </c>
      <c r="CN3" s="44">
        <v>45014</v>
      </c>
      <c r="CO3" s="44">
        <v>45015</v>
      </c>
      <c r="CP3" s="44">
        <v>45016</v>
      </c>
      <c r="CQ3" s="44">
        <v>45017</v>
      </c>
      <c r="CR3" s="44">
        <v>45018</v>
      </c>
      <c r="CS3" s="44">
        <v>45019</v>
      </c>
      <c r="CT3" s="44">
        <v>45020</v>
      </c>
      <c r="CU3" s="44">
        <v>45021</v>
      </c>
      <c r="CV3" s="44">
        <v>45022</v>
      </c>
      <c r="CW3" s="44">
        <v>45023</v>
      </c>
      <c r="CX3" s="44">
        <v>45024</v>
      </c>
      <c r="CY3" s="44">
        <v>45025</v>
      </c>
      <c r="CZ3" s="44">
        <v>45026</v>
      </c>
      <c r="DA3" s="44">
        <v>45027</v>
      </c>
      <c r="DB3" s="44">
        <v>45028</v>
      </c>
      <c r="DC3" s="44">
        <v>45029</v>
      </c>
      <c r="DD3" s="44">
        <v>45030</v>
      </c>
      <c r="DE3" s="44">
        <v>45031</v>
      </c>
      <c r="DF3" s="44">
        <v>45032</v>
      </c>
      <c r="DG3" s="44">
        <v>45033</v>
      </c>
      <c r="DH3" s="44">
        <v>45034</v>
      </c>
      <c r="DI3" s="44">
        <v>45035</v>
      </c>
      <c r="DJ3" s="44">
        <v>45036</v>
      </c>
      <c r="DK3" s="44">
        <v>45037</v>
      </c>
      <c r="DL3" s="44">
        <v>45038</v>
      </c>
      <c r="DM3" s="44">
        <v>45039</v>
      </c>
      <c r="DN3" s="44">
        <v>45040</v>
      </c>
      <c r="DO3" s="44">
        <v>45041</v>
      </c>
      <c r="DP3" s="44">
        <v>45042</v>
      </c>
      <c r="DQ3" s="44">
        <v>45043</v>
      </c>
      <c r="DR3" s="44">
        <v>45044</v>
      </c>
      <c r="DS3" s="44">
        <v>45045</v>
      </c>
      <c r="DT3" s="44">
        <v>45046</v>
      </c>
      <c r="DU3" s="44">
        <v>45047</v>
      </c>
      <c r="DV3" s="44">
        <v>45048</v>
      </c>
      <c r="DW3" s="44">
        <v>45049</v>
      </c>
      <c r="DX3" s="44">
        <v>45050</v>
      </c>
      <c r="DY3" s="44">
        <v>45051</v>
      </c>
      <c r="DZ3" s="44">
        <v>45052</v>
      </c>
      <c r="EA3" s="44">
        <v>45053</v>
      </c>
      <c r="EB3" s="44">
        <v>45054</v>
      </c>
      <c r="EC3" s="44">
        <v>45055</v>
      </c>
      <c r="ED3" s="44">
        <v>45056</v>
      </c>
      <c r="EE3" s="44">
        <v>45057</v>
      </c>
      <c r="EF3" s="44">
        <v>45058</v>
      </c>
      <c r="EG3" s="44">
        <v>45059</v>
      </c>
      <c r="EH3" s="44">
        <v>45060</v>
      </c>
      <c r="EI3" s="44">
        <v>45061</v>
      </c>
      <c r="EJ3" s="44">
        <v>45062</v>
      </c>
      <c r="EK3" s="44">
        <v>45063</v>
      </c>
      <c r="EL3" s="44">
        <v>45064</v>
      </c>
      <c r="EM3" s="44">
        <v>45065</v>
      </c>
      <c r="EN3" s="44">
        <v>45066</v>
      </c>
      <c r="EO3" s="44">
        <v>45067</v>
      </c>
      <c r="EP3" s="44">
        <v>45068</v>
      </c>
      <c r="EQ3" s="44">
        <v>45069</v>
      </c>
      <c r="ER3" s="44">
        <v>45070</v>
      </c>
      <c r="ES3" s="44">
        <v>45071</v>
      </c>
      <c r="ET3" s="44">
        <v>45072</v>
      </c>
      <c r="EU3" s="44">
        <v>45073</v>
      </c>
      <c r="EV3" s="44">
        <v>45074</v>
      </c>
      <c r="EW3" s="44">
        <v>45075</v>
      </c>
      <c r="EX3" s="44">
        <v>45076</v>
      </c>
      <c r="EY3" s="44">
        <v>45077</v>
      </c>
      <c r="EZ3" s="44">
        <v>45078</v>
      </c>
      <c r="FA3" s="44">
        <v>45079</v>
      </c>
      <c r="FB3" s="44">
        <v>45080</v>
      </c>
      <c r="FC3" s="44">
        <v>45081</v>
      </c>
      <c r="FD3" s="44">
        <v>45082</v>
      </c>
      <c r="FE3" s="44">
        <v>45083</v>
      </c>
      <c r="FF3" s="44">
        <v>45084</v>
      </c>
      <c r="FG3" s="44">
        <v>45085</v>
      </c>
      <c r="FH3" s="44">
        <v>45086</v>
      </c>
      <c r="FI3" s="44">
        <v>45087</v>
      </c>
      <c r="FJ3" s="44">
        <v>45088</v>
      </c>
      <c r="FK3" s="44">
        <v>45089</v>
      </c>
      <c r="FL3" s="44">
        <v>45090</v>
      </c>
      <c r="FM3" s="44">
        <v>45091</v>
      </c>
      <c r="FN3" s="44">
        <v>45092</v>
      </c>
      <c r="FO3" s="44">
        <v>45093</v>
      </c>
      <c r="FP3" s="44">
        <v>45094</v>
      </c>
      <c r="FQ3" s="44">
        <v>45095</v>
      </c>
      <c r="FR3" s="44">
        <v>45096</v>
      </c>
      <c r="FS3" s="44">
        <v>45097</v>
      </c>
      <c r="FT3" s="44">
        <v>45098</v>
      </c>
      <c r="FU3" s="44">
        <v>45099</v>
      </c>
      <c r="FV3" s="44">
        <v>45100</v>
      </c>
      <c r="FW3" s="44">
        <v>45101</v>
      </c>
      <c r="FX3" s="44">
        <v>45102</v>
      </c>
      <c r="FY3" s="44">
        <v>45103</v>
      </c>
      <c r="FZ3" s="44">
        <v>45104</v>
      </c>
      <c r="GA3" s="44">
        <v>45105</v>
      </c>
      <c r="GB3" s="44">
        <v>45106</v>
      </c>
      <c r="GC3" s="44">
        <v>45107</v>
      </c>
      <c r="GD3" s="44">
        <v>45108</v>
      </c>
      <c r="GE3" s="44">
        <v>45109</v>
      </c>
      <c r="GF3" s="44">
        <v>45110</v>
      </c>
      <c r="GG3" s="44">
        <v>45111</v>
      </c>
      <c r="GH3" s="44">
        <v>45112</v>
      </c>
      <c r="GI3" s="44">
        <v>45113</v>
      </c>
      <c r="GJ3" s="44">
        <v>45114</v>
      </c>
      <c r="GK3" s="44">
        <v>45115</v>
      </c>
      <c r="GL3" s="44">
        <v>45116</v>
      </c>
      <c r="GM3" s="44">
        <v>45117</v>
      </c>
      <c r="GN3" s="44">
        <v>45118</v>
      </c>
      <c r="GO3" s="44">
        <v>45119</v>
      </c>
      <c r="GP3" s="44">
        <v>45120</v>
      </c>
      <c r="GQ3" s="44">
        <v>45121</v>
      </c>
      <c r="GR3" s="44">
        <v>45122</v>
      </c>
      <c r="GS3" s="44">
        <v>45123</v>
      </c>
      <c r="GT3" s="44">
        <v>45124</v>
      </c>
      <c r="GU3" s="44">
        <v>45125</v>
      </c>
      <c r="GV3" s="44">
        <v>45126</v>
      </c>
      <c r="GW3" s="44">
        <v>45127</v>
      </c>
      <c r="GX3" s="44">
        <v>45128</v>
      </c>
      <c r="GY3" s="44">
        <v>45129</v>
      </c>
      <c r="GZ3" s="44">
        <v>45130</v>
      </c>
      <c r="HA3" s="44">
        <v>45131</v>
      </c>
      <c r="HB3" s="44">
        <v>45132</v>
      </c>
      <c r="HC3" s="44">
        <v>45133</v>
      </c>
      <c r="HD3" s="44">
        <v>45134</v>
      </c>
      <c r="HE3" s="44">
        <v>45135</v>
      </c>
      <c r="HF3" s="44">
        <v>45136</v>
      </c>
      <c r="HG3" s="44">
        <v>45137</v>
      </c>
      <c r="HH3" s="44">
        <v>45138</v>
      </c>
    </row>
    <row r="4" spans="1:216" ht="15.75" thickBot="1" x14ac:dyDescent="0.3">
      <c r="B4" s="60"/>
      <c r="C4" s="60"/>
      <c r="D4" s="60"/>
      <c r="E4" s="60"/>
      <c r="F4" s="77" t="s">
        <v>65</v>
      </c>
      <c r="G4" s="78"/>
      <c r="H4" s="78"/>
      <c r="I4" s="78"/>
      <c r="J4" s="78"/>
      <c r="K4" s="78"/>
      <c r="L4" s="79"/>
      <c r="M4" s="77" t="s">
        <v>66</v>
      </c>
      <c r="N4" s="78"/>
      <c r="O4" s="78"/>
      <c r="P4" s="78"/>
      <c r="Q4" s="78"/>
      <c r="R4" s="78"/>
      <c r="S4" s="79"/>
      <c r="T4" s="77" t="s">
        <v>67</v>
      </c>
      <c r="U4" s="78"/>
      <c r="V4" s="78"/>
      <c r="W4" s="78"/>
      <c r="X4" s="78"/>
      <c r="Y4" s="78"/>
      <c r="Z4" s="79"/>
      <c r="AA4" s="77" t="s">
        <v>68</v>
      </c>
      <c r="AB4" s="78"/>
      <c r="AC4" s="78"/>
      <c r="AD4" s="78"/>
      <c r="AE4" s="78"/>
      <c r="AF4" s="78"/>
      <c r="AG4" s="79"/>
      <c r="AH4" s="77" t="s">
        <v>69</v>
      </c>
      <c r="AI4" s="78"/>
      <c r="AJ4" s="78"/>
      <c r="AK4" s="78"/>
      <c r="AL4" s="78"/>
      <c r="AM4" s="78"/>
      <c r="AN4" s="79"/>
      <c r="AO4" s="77" t="s">
        <v>50</v>
      </c>
      <c r="AP4" s="78"/>
      <c r="AQ4" s="78"/>
      <c r="AR4" s="78"/>
      <c r="AS4" s="78"/>
      <c r="AT4" s="78"/>
      <c r="AU4" s="79"/>
      <c r="AV4" s="77" t="s">
        <v>51</v>
      </c>
      <c r="AW4" s="78"/>
      <c r="AX4" s="78"/>
      <c r="AY4" s="78"/>
      <c r="AZ4" s="78"/>
      <c r="BA4" s="78"/>
      <c r="BB4" s="79"/>
      <c r="BC4" s="77" t="s">
        <v>52</v>
      </c>
      <c r="BD4" s="78"/>
      <c r="BE4" s="78"/>
      <c r="BF4" s="78"/>
      <c r="BG4" s="78"/>
      <c r="BH4" s="78"/>
      <c r="BI4" s="79"/>
      <c r="BJ4" s="77" t="s">
        <v>53</v>
      </c>
      <c r="BK4" s="78"/>
      <c r="BL4" s="78"/>
      <c r="BM4" s="78"/>
      <c r="BN4" s="78"/>
      <c r="BO4" s="78"/>
      <c r="BP4" s="79"/>
      <c r="BQ4" s="77" t="s">
        <v>54</v>
      </c>
      <c r="BR4" s="78"/>
      <c r="BS4" s="78"/>
      <c r="BT4" s="78"/>
      <c r="BU4" s="78"/>
      <c r="BV4" s="78"/>
      <c r="BW4" s="79"/>
      <c r="BX4" s="77" t="s">
        <v>55</v>
      </c>
      <c r="BY4" s="78"/>
      <c r="BZ4" s="78"/>
      <c r="CA4" s="78"/>
      <c r="CB4" s="78"/>
      <c r="CC4" s="78"/>
      <c r="CD4" s="79"/>
      <c r="CE4" s="77" t="s">
        <v>56</v>
      </c>
      <c r="CF4" s="78"/>
      <c r="CG4" s="78"/>
      <c r="CH4" s="78"/>
      <c r="CI4" s="78"/>
      <c r="CJ4" s="78"/>
      <c r="CK4" s="79"/>
      <c r="CL4" s="77" t="s">
        <v>57</v>
      </c>
      <c r="CM4" s="78"/>
      <c r="CN4" s="78"/>
      <c r="CO4" s="78"/>
      <c r="CP4" s="78"/>
      <c r="CQ4" s="78"/>
      <c r="CR4" s="79"/>
      <c r="CS4" s="77" t="s">
        <v>72</v>
      </c>
      <c r="CT4" s="78"/>
      <c r="CU4" s="78"/>
      <c r="CV4" s="78"/>
      <c r="CW4" s="78"/>
      <c r="CX4" s="78"/>
      <c r="CY4" s="79"/>
      <c r="CZ4" s="77" t="s">
        <v>73</v>
      </c>
      <c r="DA4" s="78"/>
      <c r="DB4" s="78"/>
      <c r="DC4" s="78"/>
      <c r="DD4" s="78"/>
      <c r="DE4" s="78"/>
      <c r="DF4" s="79"/>
      <c r="DG4" s="77" t="s">
        <v>74</v>
      </c>
      <c r="DH4" s="78"/>
      <c r="DI4" s="78"/>
      <c r="DJ4" s="78"/>
      <c r="DK4" s="78"/>
      <c r="DL4" s="78"/>
      <c r="DM4" s="79"/>
      <c r="DN4" s="77" t="s">
        <v>75</v>
      </c>
      <c r="DO4" s="78"/>
      <c r="DP4" s="78"/>
      <c r="DQ4" s="78"/>
      <c r="DR4" s="78"/>
      <c r="DS4" s="78"/>
      <c r="DT4" s="79"/>
      <c r="DU4" s="77" t="s">
        <v>76</v>
      </c>
      <c r="DV4" s="78"/>
      <c r="DW4" s="78"/>
      <c r="DX4" s="78"/>
      <c r="DY4" s="78"/>
      <c r="DZ4" s="78"/>
      <c r="EA4" s="79"/>
      <c r="EB4" s="77" t="s">
        <v>77</v>
      </c>
      <c r="EC4" s="78"/>
      <c r="ED4" s="78"/>
      <c r="EE4" s="78"/>
      <c r="EF4" s="78"/>
      <c r="EG4" s="78"/>
      <c r="EH4" s="79"/>
      <c r="EI4" s="77" t="s">
        <v>78</v>
      </c>
      <c r="EJ4" s="78"/>
      <c r="EK4" s="78"/>
      <c r="EL4" s="78"/>
      <c r="EM4" s="78"/>
      <c r="EN4" s="78"/>
      <c r="EO4" s="79"/>
      <c r="EP4" s="77" t="s">
        <v>79</v>
      </c>
      <c r="EQ4" s="78"/>
      <c r="ER4" s="78"/>
      <c r="ES4" s="78"/>
      <c r="ET4" s="78"/>
      <c r="EU4" s="78"/>
      <c r="EV4" s="79"/>
      <c r="EW4" s="77" t="s">
        <v>80</v>
      </c>
      <c r="EX4" s="78"/>
      <c r="EY4" s="78"/>
      <c r="EZ4" s="78"/>
      <c r="FA4" s="78"/>
      <c r="FB4" s="78"/>
      <c r="FC4" s="79"/>
      <c r="FD4" s="77" t="s">
        <v>81</v>
      </c>
      <c r="FE4" s="78"/>
      <c r="FF4" s="78"/>
      <c r="FG4" s="78"/>
      <c r="FH4" s="78"/>
      <c r="FI4" s="78"/>
      <c r="FJ4" s="79"/>
      <c r="FK4" s="77" t="s">
        <v>82</v>
      </c>
      <c r="FL4" s="78"/>
      <c r="FM4" s="78"/>
      <c r="FN4" s="78"/>
      <c r="FO4" s="78"/>
      <c r="FP4" s="78"/>
      <c r="FQ4" s="79"/>
      <c r="FR4" s="77" t="s">
        <v>83</v>
      </c>
      <c r="FS4" s="78"/>
      <c r="FT4" s="78"/>
      <c r="FU4" s="78"/>
      <c r="FV4" s="78"/>
      <c r="FW4" s="78"/>
      <c r="FX4" s="79"/>
      <c r="FY4" s="77" t="s">
        <v>84</v>
      </c>
      <c r="FZ4" s="78"/>
      <c r="GA4" s="78"/>
      <c r="GB4" s="78"/>
      <c r="GC4" s="78"/>
      <c r="GD4" s="78"/>
      <c r="GE4" s="79"/>
      <c r="GF4" s="77" t="s">
        <v>85</v>
      </c>
      <c r="GG4" s="78"/>
      <c r="GH4" s="78"/>
      <c r="GI4" s="78"/>
      <c r="GJ4" s="78"/>
      <c r="GK4" s="78"/>
      <c r="GL4" s="79"/>
      <c r="GM4" s="77" t="s">
        <v>86</v>
      </c>
      <c r="GN4" s="78"/>
      <c r="GO4" s="78"/>
      <c r="GP4" s="78"/>
      <c r="GQ4" s="78"/>
      <c r="GR4" s="78"/>
      <c r="GS4" s="79"/>
      <c r="GT4" s="77" t="s">
        <v>87</v>
      </c>
      <c r="GU4" s="78"/>
      <c r="GV4" s="78"/>
      <c r="GW4" s="78"/>
      <c r="GX4" s="78"/>
      <c r="GY4" s="78"/>
      <c r="GZ4" s="79"/>
      <c r="HA4" s="77" t="s">
        <v>88</v>
      </c>
      <c r="HB4" s="78"/>
      <c r="HC4" s="78"/>
      <c r="HD4" s="78"/>
      <c r="HE4" s="78"/>
      <c r="HF4" s="78"/>
      <c r="HG4" s="79"/>
    </row>
    <row r="5" spans="1:216" ht="15.75" thickBot="1" x14ac:dyDescent="0.3">
      <c r="A5" s="61" t="s">
        <v>1</v>
      </c>
      <c r="B5" s="2" t="s">
        <v>7</v>
      </c>
      <c r="C5" s="21" t="s">
        <v>24</v>
      </c>
      <c r="D5" s="4">
        <f>SUM(F5:CR5)</f>
        <v>0</v>
      </c>
      <c r="E5" s="17">
        <v>2</v>
      </c>
      <c r="F5" s="6"/>
      <c r="G5" s="7"/>
      <c r="H5" s="7"/>
      <c r="I5" s="7"/>
      <c r="J5" s="7"/>
      <c r="K5" s="7"/>
      <c r="L5" s="20"/>
      <c r="M5" s="6"/>
      <c r="N5" s="7"/>
      <c r="O5" s="7"/>
      <c r="P5" s="7"/>
      <c r="Q5" s="7"/>
      <c r="R5" s="7"/>
      <c r="S5" s="20"/>
      <c r="T5" s="6"/>
      <c r="U5" s="7"/>
      <c r="V5" s="7"/>
      <c r="W5" s="7"/>
      <c r="X5" s="7"/>
      <c r="Y5" s="7"/>
      <c r="Z5" s="20"/>
      <c r="AA5" s="6"/>
      <c r="AB5" s="7"/>
      <c r="AC5" s="7"/>
      <c r="AD5" s="7"/>
      <c r="AE5" s="7"/>
      <c r="AF5" s="7"/>
      <c r="AG5" s="20"/>
      <c r="AH5" s="6"/>
      <c r="AI5" s="7"/>
      <c r="AJ5" s="7"/>
      <c r="AK5" s="7"/>
      <c r="AL5" s="7"/>
      <c r="AM5" s="7"/>
      <c r="AN5" s="20"/>
      <c r="AO5" s="6"/>
      <c r="AP5" s="7"/>
      <c r="AQ5" s="7"/>
      <c r="AR5" s="7"/>
      <c r="AS5" s="7"/>
      <c r="AT5" s="7"/>
      <c r="AU5" s="20"/>
      <c r="AV5" s="11"/>
      <c r="AW5" s="11"/>
      <c r="AX5" s="11"/>
      <c r="AY5" s="11"/>
      <c r="AZ5" s="11"/>
      <c r="BA5" s="11"/>
      <c r="BB5" s="8"/>
      <c r="BC5" s="11"/>
      <c r="BD5" s="11"/>
      <c r="BE5" s="11"/>
      <c r="BF5" s="11"/>
      <c r="BG5" s="11"/>
      <c r="BH5" s="11"/>
      <c r="BI5" s="8"/>
      <c r="BJ5" s="11"/>
      <c r="BK5" s="11"/>
      <c r="BL5" s="11"/>
      <c r="BM5" s="11"/>
      <c r="BN5" s="11"/>
      <c r="BO5" s="11"/>
      <c r="BP5" s="8"/>
      <c r="BQ5" s="11"/>
      <c r="BR5" s="11"/>
      <c r="BS5" s="11"/>
      <c r="BT5" s="11"/>
      <c r="BU5" s="11"/>
      <c r="BV5" s="11"/>
      <c r="BW5" s="8"/>
      <c r="BX5" s="11"/>
      <c r="BY5" s="11"/>
      <c r="BZ5" s="11"/>
      <c r="CA5" s="11"/>
      <c r="CB5" s="11"/>
      <c r="CC5" s="11"/>
      <c r="CD5" s="8"/>
      <c r="CE5" s="11"/>
      <c r="CF5" s="11"/>
      <c r="CG5" s="11"/>
      <c r="CH5" s="11"/>
      <c r="CI5" s="11"/>
      <c r="CJ5" s="11"/>
      <c r="CK5" s="8"/>
      <c r="CL5" s="11"/>
      <c r="CM5" s="11"/>
      <c r="CN5" s="11"/>
      <c r="CO5" s="11"/>
      <c r="CP5" s="11"/>
      <c r="CQ5" s="11"/>
      <c r="CR5" s="8"/>
      <c r="CS5" s="11"/>
      <c r="CT5" s="11"/>
      <c r="CU5" s="11"/>
      <c r="CV5" s="11"/>
      <c r="CW5" s="11"/>
      <c r="CX5" s="11"/>
      <c r="CY5" s="8"/>
      <c r="CZ5" s="11"/>
      <c r="DA5" s="11"/>
      <c r="DB5" s="11"/>
      <c r="DC5" s="11"/>
      <c r="DD5" s="11"/>
      <c r="DE5" s="11"/>
      <c r="DF5" s="8"/>
      <c r="DG5" s="11"/>
      <c r="DH5" s="11"/>
      <c r="DI5" s="11"/>
      <c r="DJ5" s="11"/>
      <c r="DK5" s="11"/>
      <c r="DL5" s="11"/>
      <c r="DM5" s="8"/>
      <c r="DN5" s="11"/>
      <c r="DO5" s="11"/>
      <c r="DP5" s="11"/>
      <c r="DQ5" s="11"/>
      <c r="DR5" s="11"/>
      <c r="DS5" s="11"/>
      <c r="DT5" s="8"/>
      <c r="DU5" s="11"/>
      <c r="DV5" s="11"/>
      <c r="DW5" s="11"/>
      <c r="DX5" s="11"/>
      <c r="DY5" s="11"/>
      <c r="DZ5" s="11"/>
      <c r="EA5" s="8"/>
      <c r="EB5" s="11"/>
      <c r="EC5" s="11"/>
      <c r="ED5" s="11"/>
      <c r="EE5" s="11"/>
      <c r="EF5" s="11"/>
      <c r="EG5" s="11"/>
      <c r="EH5" s="8"/>
      <c r="EI5" s="11"/>
      <c r="EJ5" s="11"/>
      <c r="EK5" s="11"/>
      <c r="EL5" s="11"/>
      <c r="EM5" s="11"/>
      <c r="EN5" s="11"/>
      <c r="EO5" s="8"/>
      <c r="EP5" s="11"/>
      <c r="EQ5" s="11"/>
      <c r="ER5" s="11"/>
      <c r="ES5" s="11"/>
      <c r="ET5" s="11"/>
      <c r="EU5" s="11"/>
      <c r="EV5" s="8"/>
      <c r="EW5" s="11"/>
      <c r="EX5" s="11"/>
      <c r="EY5" s="11"/>
      <c r="EZ5" s="11"/>
      <c r="FA5" s="11"/>
      <c r="FB5" s="11"/>
      <c r="FC5" s="8"/>
      <c r="FD5" s="11"/>
      <c r="FE5" s="11"/>
      <c r="FF5" s="11"/>
      <c r="FG5" s="11"/>
      <c r="FH5" s="11"/>
      <c r="FI5" s="11"/>
      <c r="FJ5" s="8"/>
      <c r="FK5" s="11"/>
      <c r="FL5" s="11"/>
      <c r="FM5" s="11"/>
      <c r="FN5" s="11"/>
      <c r="FO5" s="11"/>
      <c r="FP5" s="11"/>
      <c r="FQ5" s="8"/>
      <c r="FR5" s="11"/>
      <c r="FS5" s="11"/>
      <c r="FT5" s="11"/>
      <c r="FU5" s="11"/>
      <c r="FV5" s="11"/>
      <c r="FW5" s="11"/>
      <c r="FX5" s="8"/>
      <c r="FY5" s="11"/>
      <c r="FZ5" s="11"/>
      <c r="GA5" s="11"/>
      <c r="GB5" s="11"/>
      <c r="GC5" s="11"/>
      <c r="GD5" s="11"/>
      <c r="GE5" s="8"/>
      <c r="GF5" s="11"/>
      <c r="GG5" s="11"/>
      <c r="GH5" s="11"/>
      <c r="GI5" s="11"/>
      <c r="GJ5" s="11"/>
      <c r="GK5" s="11"/>
      <c r="GL5" s="8"/>
      <c r="GM5" s="11"/>
      <c r="GN5" s="11"/>
      <c r="GO5" s="11"/>
      <c r="GP5" s="11"/>
      <c r="GQ5" s="11"/>
      <c r="GR5" s="11"/>
      <c r="GS5" s="8"/>
      <c r="GT5" s="11"/>
      <c r="GU5" s="11"/>
      <c r="GV5" s="11"/>
      <c r="GW5" s="11"/>
      <c r="GX5" s="11"/>
      <c r="GY5" s="11"/>
      <c r="GZ5" s="8"/>
      <c r="HA5" s="11"/>
      <c r="HB5" s="11"/>
      <c r="HC5" s="11"/>
      <c r="HD5" s="11"/>
      <c r="HE5" s="11"/>
      <c r="HF5" s="11"/>
      <c r="HG5" s="8"/>
    </row>
    <row r="6" spans="1:216" ht="26.25" thickBot="1" x14ac:dyDescent="0.3">
      <c r="A6" s="62"/>
      <c r="B6" s="2" t="s">
        <v>4</v>
      </c>
      <c r="C6" s="21" t="s">
        <v>24</v>
      </c>
      <c r="D6" s="4">
        <f>SUM(F6:CR6)</f>
        <v>11</v>
      </c>
      <c r="E6" s="4">
        <v>2</v>
      </c>
      <c r="F6" s="10"/>
      <c r="G6" s="11"/>
      <c r="H6" s="11"/>
      <c r="I6" s="11">
        <v>2</v>
      </c>
      <c r="J6" s="11"/>
      <c r="K6" s="11"/>
      <c r="L6" s="8"/>
      <c r="M6" s="10"/>
      <c r="N6" s="11"/>
      <c r="O6" s="11"/>
      <c r="P6" s="11"/>
      <c r="Q6" s="11"/>
      <c r="R6" s="11"/>
      <c r="S6" s="8"/>
      <c r="T6" s="10"/>
      <c r="U6" s="11">
        <v>1</v>
      </c>
      <c r="V6" s="11">
        <v>1</v>
      </c>
      <c r="W6" s="11"/>
      <c r="X6" s="11">
        <v>1</v>
      </c>
      <c r="Y6" s="11"/>
      <c r="Z6" s="8"/>
      <c r="AA6" s="10">
        <v>1</v>
      </c>
      <c r="AB6" s="11"/>
      <c r="AC6" s="11">
        <v>2</v>
      </c>
      <c r="AD6" s="11">
        <v>1</v>
      </c>
      <c r="AE6" s="11"/>
      <c r="AF6" s="11"/>
      <c r="AG6" s="8"/>
      <c r="AH6" s="10">
        <v>1</v>
      </c>
      <c r="AI6" s="11">
        <v>1</v>
      </c>
      <c r="AJ6" s="11"/>
      <c r="AK6" s="11"/>
      <c r="AL6" s="11"/>
      <c r="AM6" s="11"/>
      <c r="AN6" s="8"/>
      <c r="AO6" s="10"/>
      <c r="AP6" s="11"/>
      <c r="AQ6" s="11"/>
      <c r="AR6" s="11"/>
      <c r="AS6" s="11"/>
      <c r="AT6" s="11"/>
      <c r="AU6" s="8"/>
      <c r="AV6" s="11"/>
      <c r="AW6" s="11"/>
      <c r="AX6" s="11"/>
      <c r="AY6" s="11"/>
      <c r="AZ6" s="11"/>
      <c r="BA6" s="11"/>
      <c r="BB6" s="8"/>
      <c r="BC6" s="11"/>
      <c r="BD6" s="11"/>
      <c r="BE6" s="11"/>
      <c r="BF6" s="11"/>
      <c r="BG6" s="11"/>
      <c r="BH6" s="11"/>
      <c r="BI6" s="8"/>
      <c r="BJ6" s="11"/>
      <c r="BK6" s="11"/>
      <c r="BL6" s="11"/>
      <c r="BM6" s="11"/>
      <c r="BN6" s="11"/>
      <c r="BO6" s="11"/>
      <c r="BP6" s="8"/>
      <c r="BQ6" s="11"/>
      <c r="BR6" s="11"/>
      <c r="BS6" s="11"/>
      <c r="BT6" s="11"/>
      <c r="BU6" s="11"/>
      <c r="BV6" s="11"/>
      <c r="BW6" s="8"/>
      <c r="BX6" s="11"/>
      <c r="BY6" s="11"/>
      <c r="BZ6" s="11"/>
      <c r="CA6" s="11"/>
      <c r="CB6" s="11"/>
      <c r="CC6" s="11"/>
      <c r="CD6" s="8"/>
      <c r="CE6" s="11"/>
      <c r="CF6" s="11"/>
      <c r="CG6" s="11"/>
      <c r="CH6" s="11"/>
      <c r="CI6" s="11"/>
      <c r="CJ6" s="11"/>
      <c r="CK6" s="8"/>
      <c r="CL6" s="11"/>
      <c r="CM6" s="11"/>
      <c r="CN6" s="11"/>
      <c r="CO6" s="11"/>
      <c r="CP6" s="11"/>
      <c r="CQ6" s="11"/>
      <c r="CR6" s="8"/>
      <c r="CS6" s="11"/>
      <c r="CT6" s="11"/>
      <c r="CU6" s="11"/>
      <c r="CV6" s="11"/>
      <c r="CW6" s="11"/>
      <c r="CX6" s="11"/>
      <c r="CY6" s="8"/>
      <c r="CZ6" s="11"/>
      <c r="DA6" s="11"/>
      <c r="DB6" s="11"/>
      <c r="DC6" s="11"/>
      <c r="DD6" s="11"/>
      <c r="DE6" s="11"/>
      <c r="DF6" s="8"/>
      <c r="DG6" s="11"/>
      <c r="DH6" s="11"/>
      <c r="DI6" s="11"/>
      <c r="DJ6" s="11"/>
      <c r="DK6" s="11"/>
      <c r="DL6" s="11"/>
      <c r="DM6" s="8"/>
      <c r="DN6" s="11"/>
      <c r="DO6" s="11"/>
      <c r="DP6" s="11"/>
      <c r="DQ6" s="11"/>
      <c r="DR6" s="11"/>
      <c r="DS6" s="11"/>
      <c r="DT6" s="8"/>
      <c r="DU6" s="11"/>
      <c r="DV6" s="11"/>
      <c r="DW6" s="11"/>
      <c r="DX6" s="11"/>
      <c r="DY6" s="11"/>
      <c r="DZ6" s="11"/>
      <c r="EA6" s="8"/>
      <c r="EB6" s="11"/>
      <c r="EC6" s="11"/>
      <c r="ED6" s="11"/>
      <c r="EE6" s="11"/>
      <c r="EF6" s="11"/>
      <c r="EG6" s="11"/>
      <c r="EH6" s="8"/>
      <c r="EI6" s="11"/>
      <c r="EJ6" s="11"/>
      <c r="EK6" s="11"/>
      <c r="EL6" s="11"/>
      <c r="EM6" s="11"/>
      <c r="EN6" s="11"/>
      <c r="EO6" s="8"/>
      <c r="EP6" s="11"/>
      <c r="EQ6" s="11"/>
      <c r="ER6" s="11"/>
      <c r="ES6" s="11"/>
      <c r="ET6" s="11"/>
      <c r="EU6" s="11"/>
      <c r="EV6" s="8"/>
      <c r="EW6" s="11"/>
      <c r="EX6" s="11"/>
      <c r="EY6" s="11"/>
      <c r="EZ6" s="11"/>
      <c r="FA6" s="11"/>
      <c r="FB6" s="11"/>
      <c r="FC6" s="8"/>
      <c r="FD6" s="11"/>
      <c r="FE6" s="11"/>
      <c r="FF6" s="11"/>
      <c r="FG6" s="11"/>
      <c r="FH6" s="11"/>
      <c r="FI6" s="11"/>
      <c r="FJ6" s="8"/>
      <c r="FK6" s="11"/>
      <c r="FL6" s="11"/>
      <c r="FM6" s="11"/>
      <c r="FN6" s="11"/>
      <c r="FO6" s="11"/>
      <c r="FP6" s="11"/>
      <c r="FQ6" s="8"/>
      <c r="FR6" s="11"/>
      <c r="FS6" s="11"/>
      <c r="FT6" s="11"/>
      <c r="FU6" s="11"/>
      <c r="FV6" s="11"/>
      <c r="FW6" s="11"/>
      <c r="FX6" s="8"/>
      <c r="FY6" s="11"/>
      <c r="FZ6" s="11"/>
      <c r="GA6" s="11"/>
      <c r="GB6" s="11"/>
      <c r="GC6" s="11"/>
      <c r="GD6" s="11"/>
      <c r="GE6" s="8"/>
      <c r="GF6" s="11"/>
      <c r="GG6" s="11"/>
      <c r="GH6" s="11"/>
      <c r="GI6" s="11"/>
      <c r="GJ6" s="11"/>
      <c r="GK6" s="11"/>
      <c r="GL6" s="8"/>
      <c r="GM6" s="11"/>
      <c r="GN6" s="11"/>
      <c r="GO6" s="11"/>
      <c r="GP6" s="11"/>
      <c r="GQ6" s="11"/>
      <c r="GR6" s="11"/>
      <c r="GS6" s="8"/>
      <c r="GT6" s="11"/>
      <c r="GU6" s="11"/>
      <c r="GV6" s="11"/>
      <c r="GW6" s="11"/>
      <c r="GX6" s="11"/>
      <c r="GY6" s="11"/>
      <c r="GZ6" s="8"/>
      <c r="HA6" s="11"/>
      <c r="HB6" s="11"/>
      <c r="HC6" s="11"/>
      <c r="HD6" s="11"/>
      <c r="HE6" s="11"/>
      <c r="HF6" s="11"/>
      <c r="HG6" s="8"/>
    </row>
    <row r="7" spans="1:216" ht="26.25" thickBot="1" x14ac:dyDescent="0.3">
      <c r="A7" s="62"/>
      <c r="B7" s="2" t="s">
        <v>5</v>
      </c>
      <c r="C7" s="21" t="s">
        <v>24</v>
      </c>
      <c r="D7" s="4">
        <f t="shared" ref="D7:D10" si="0">SUM(F7:CR7)</f>
        <v>14</v>
      </c>
      <c r="E7" s="4">
        <v>2</v>
      </c>
      <c r="F7" s="10"/>
      <c r="G7" s="11"/>
      <c r="H7" s="11"/>
      <c r="I7" s="11">
        <v>1</v>
      </c>
      <c r="J7" s="11">
        <v>1</v>
      </c>
      <c r="K7" s="11"/>
      <c r="L7" s="8"/>
      <c r="M7" s="10"/>
      <c r="N7" s="11">
        <v>4</v>
      </c>
      <c r="O7" s="11"/>
      <c r="P7" s="11">
        <v>3</v>
      </c>
      <c r="Q7" s="11"/>
      <c r="R7" s="11"/>
      <c r="S7" s="8"/>
      <c r="T7" s="10"/>
      <c r="U7" s="11"/>
      <c r="V7" s="11">
        <v>2</v>
      </c>
      <c r="W7" s="11"/>
      <c r="X7" s="11"/>
      <c r="Y7" s="11"/>
      <c r="Z7" s="8"/>
      <c r="AA7" s="10"/>
      <c r="AB7" s="11"/>
      <c r="AC7" s="11"/>
      <c r="AD7" s="11">
        <v>1</v>
      </c>
      <c r="AE7" s="11"/>
      <c r="AF7" s="11"/>
      <c r="AG7" s="8"/>
      <c r="AH7" s="10"/>
      <c r="AI7" s="11"/>
      <c r="AJ7" s="11"/>
      <c r="AK7" s="11"/>
      <c r="AL7" s="11"/>
      <c r="AM7" s="11"/>
      <c r="AN7" s="8"/>
      <c r="AO7" s="10"/>
      <c r="AP7" s="11">
        <v>2</v>
      </c>
      <c r="AQ7" s="11"/>
      <c r="AR7" s="11"/>
      <c r="AS7" s="11"/>
      <c r="AT7" s="11"/>
      <c r="AU7" s="8"/>
      <c r="AV7" s="11"/>
      <c r="AW7" s="11"/>
      <c r="AX7" s="11"/>
      <c r="AY7" s="11"/>
      <c r="AZ7" s="11"/>
      <c r="BA7" s="11"/>
      <c r="BB7" s="8"/>
      <c r="BC7" s="11"/>
      <c r="BD7" s="11"/>
      <c r="BE7" s="11"/>
      <c r="BF7" s="11"/>
      <c r="BG7" s="11"/>
      <c r="BH7" s="11"/>
      <c r="BI7" s="8"/>
      <c r="BJ7" s="11"/>
      <c r="BK7" s="11"/>
      <c r="BL7" s="11"/>
      <c r="BM7" s="11"/>
      <c r="BN7" s="11"/>
      <c r="BO7" s="11"/>
      <c r="BP7" s="8"/>
      <c r="BQ7" s="11"/>
      <c r="BR7" s="11"/>
      <c r="BS7" s="11"/>
      <c r="BT7" s="11"/>
      <c r="BU7" s="11"/>
      <c r="BV7" s="11"/>
      <c r="BW7" s="8"/>
      <c r="BX7" s="11"/>
      <c r="BY7" s="11"/>
      <c r="BZ7" s="11"/>
      <c r="CA7" s="11"/>
      <c r="CB7" s="11"/>
      <c r="CC7" s="11"/>
      <c r="CD7" s="8"/>
      <c r="CE7" s="11"/>
      <c r="CF7" s="11"/>
      <c r="CG7" s="11"/>
      <c r="CH7" s="11"/>
      <c r="CI7" s="11"/>
      <c r="CJ7" s="11"/>
      <c r="CK7" s="8"/>
      <c r="CL7" s="11"/>
      <c r="CM7" s="11"/>
      <c r="CN7" s="11"/>
      <c r="CO7" s="11"/>
      <c r="CP7" s="11"/>
      <c r="CQ7" s="11"/>
      <c r="CR7" s="8"/>
      <c r="CS7" s="11"/>
      <c r="CT7" s="11"/>
      <c r="CU7" s="11"/>
      <c r="CV7" s="11"/>
      <c r="CW7" s="11"/>
      <c r="CX7" s="11"/>
      <c r="CY7" s="8"/>
      <c r="CZ7" s="11"/>
      <c r="DA7" s="11"/>
      <c r="DB7" s="11"/>
      <c r="DC7" s="11"/>
      <c r="DD7" s="11"/>
      <c r="DE7" s="11"/>
      <c r="DF7" s="8"/>
      <c r="DG7" s="11"/>
      <c r="DH7" s="11"/>
      <c r="DI7" s="11"/>
      <c r="DJ7" s="11"/>
      <c r="DK7" s="11"/>
      <c r="DL7" s="11"/>
      <c r="DM7" s="8"/>
      <c r="DN7" s="11"/>
      <c r="DO7" s="11"/>
      <c r="DP7" s="11"/>
      <c r="DQ7" s="11"/>
      <c r="DR7" s="11"/>
      <c r="DS7" s="11"/>
      <c r="DT7" s="8"/>
      <c r="DU7" s="11"/>
      <c r="DV7" s="11"/>
      <c r="DW7" s="11"/>
      <c r="DX7" s="11"/>
      <c r="DY7" s="11"/>
      <c r="DZ7" s="11"/>
      <c r="EA7" s="8"/>
      <c r="EB7" s="11"/>
      <c r="EC7" s="11"/>
      <c r="ED7" s="11"/>
      <c r="EE7" s="11"/>
      <c r="EF7" s="11"/>
      <c r="EG7" s="11"/>
      <c r="EH7" s="8"/>
      <c r="EI7" s="11"/>
      <c r="EJ7" s="11"/>
      <c r="EK7" s="11"/>
      <c r="EL7" s="11"/>
      <c r="EM7" s="11"/>
      <c r="EN7" s="11"/>
      <c r="EO7" s="8"/>
      <c r="EP7" s="11"/>
      <c r="EQ7" s="11"/>
      <c r="ER7" s="11"/>
      <c r="ES7" s="11"/>
      <c r="ET7" s="11"/>
      <c r="EU7" s="11"/>
      <c r="EV7" s="8"/>
      <c r="EW7" s="11"/>
      <c r="EX7" s="11"/>
      <c r="EY7" s="11"/>
      <c r="EZ7" s="11"/>
      <c r="FA7" s="11"/>
      <c r="FB7" s="11"/>
      <c r="FC7" s="8"/>
      <c r="FD7" s="11"/>
      <c r="FE7" s="11"/>
      <c r="FF7" s="11"/>
      <c r="FG7" s="11"/>
      <c r="FH7" s="11"/>
      <c r="FI7" s="11"/>
      <c r="FJ7" s="8"/>
      <c r="FK7" s="11"/>
      <c r="FL7" s="11"/>
      <c r="FM7" s="11"/>
      <c r="FN7" s="11"/>
      <c r="FO7" s="11"/>
      <c r="FP7" s="11"/>
      <c r="FQ7" s="8"/>
      <c r="FR7" s="11"/>
      <c r="FS7" s="11"/>
      <c r="FT7" s="11"/>
      <c r="FU7" s="11"/>
      <c r="FV7" s="11"/>
      <c r="FW7" s="11"/>
      <c r="FX7" s="8"/>
      <c r="FY7" s="11"/>
      <c r="FZ7" s="11"/>
      <c r="GA7" s="11"/>
      <c r="GB7" s="11"/>
      <c r="GC7" s="11"/>
      <c r="GD7" s="11"/>
      <c r="GE7" s="8"/>
      <c r="GF7" s="11"/>
      <c r="GG7" s="11"/>
      <c r="GH7" s="11"/>
      <c r="GI7" s="11"/>
      <c r="GJ7" s="11"/>
      <c r="GK7" s="11"/>
      <c r="GL7" s="8"/>
      <c r="GM7" s="11"/>
      <c r="GN7" s="11"/>
      <c r="GO7" s="11"/>
      <c r="GP7" s="11"/>
      <c r="GQ7" s="11"/>
      <c r="GR7" s="11"/>
      <c r="GS7" s="8"/>
      <c r="GT7" s="11"/>
      <c r="GU7" s="11"/>
      <c r="GV7" s="11"/>
      <c r="GW7" s="11"/>
      <c r="GX7" s="11"/>
      <c r="GY7" s="11"/>
      <c r="GZ7" s="8"/>
      <c r="HA7" s="11"/>
      <c r="HB7" s="11"/>
      <c r="HC7" s="11"/>
      <c r="HD7" s="11"/>
      <c r="HE7" s="11"/>
      <c r="HF7" s="11"/>
      <c r="HG7" s="8"/>
    </row>
    <row r="8" spans="1:216" ht="15.75" thickBot="1" x14ac:dyDescent="0.3">
      <c r="A8" s="62"/>
      <c r="B8" s="2" t="s">
        <v>6</v>
      </c>
      <c r="C8" s="21" t="s">
        <v>24</v>
      </c>
      <c r="D8" s="4">
        <f t="shared" si="0"/>
        <v>11</v>
      </c>
      <c r="E8" s="4">
        <v>2</v>
      </c>
      <c r="F8" s="10"/>
      <c r="G8" s="11">
        <v>1</v>
      </c>
      <c r="H8" s="11"/>
      <c r="I8" s="11">
        <v>1</v>
      </c>
      <c r="J8" s="11">
        <v>1</v>
      </c>
      <c r="K8" s="11"/>
      <c r="L8" s="8"/>
      <c r="M8" s="10"/>
      <c r="N8" s="11"/>
      <c r="O8" s="11"/>
      <c r="P8" s="11">
        <v>1</v>
      </c>
      <c r="Q8" s="11"/>
      <c r="R8" s="11"/>
      <c r="S8" s="8"/>
      <c r="T8" s="10"/>
      <c r="U8" s="11"/>
      <c r="V8" s="11"/>
      <c r="W8" s="11">
        <v>1</v>
      </c>
      <c r="X8" s="11">
        <v>2</v>
      </c>
      <c r="Y8" s="11"/>
      <c r="Z8" s="8"/>
      <c r="AA8" s="10"/>
      <c r="AB8" s="11"/>
      <c r="AC8" s="11">
        <v>1</v>
      </c>
      <c r="AD8" s="11">
        <v>1</v>
      </c>
      <c r="AE8" s="11">
        <v>1</v>
      </c>
      <c r="AF8" s="11"/>
      <c r="AG8" s="8"/>
      <c r="AH8" s="10"/>
      <c r="AI8" s="11">
        <v>1</v>
      </c>
      <c r="AJ8" s="11"/>
      <c r="AK8" s="11"/>
      <c r="AL8" s="11"/>
      <c r="AM8" s="11"/>
      <c r="AN8" s="8"/>
      <c r="AO8" s="10"/>
      <c r="AP8" s="11"/>
      <c r="AQ8" s="11"/>
      <c r="AR8" s="11"/>
      <c r="AS8" s="11"/>
      <c r="AT8" s="11"/>
      <c r="AU8" s="8"/>
      <c r="AV8" s="11"/>
      <c r="AW8" s="11"/>
      <c r="AX8" s="11"/>
      <c r="AY8" s="11"/>
      <c r="AZ8" s="11"/>
      <c r="BA8" s="11"/>
      <c r="BB8" s="8"/>
      <c r="BC8" s="11"/>
      <c r="BD8" s="11"/>
      <c r="BE8" s="11"/>
      <c r="BF8" s="11"/>
      <c r="BG8" s="11"/>
      <c r="BH8" s="11"/>
      <c r="BI8" s="8"/>
      <c r="BJ8" s="11"/>
      <c r="BK8" s="11"/>
      <c r="BL8" s="11"/>
      <c r="BM8" s="11"/>
      <c r="BN8" s="11"/>
      <c r="BO8" s="11"/>
      <c r="BP8" s="8"/>
      <c r="BQ8" s="11"/>
      <c r="BR8" s="11"/>
      <c r="BS8" s="11"/>
      <c r="BT8" s="11"/>
      <c r="BU8" s="11"/>
      <c r="BV8" s="11"/>
      <c r="BW8" s="8"/>
      <c r="BX8" s="11"/>
      <c r="BY8" s="11"/>
      <c r="BZ8" s="11"/>
      <c r="CA8" s="11"/>
      <c r="CB8" s="11"/>
      <c r="CC8" s="11"/>
      <c r="CD8" s="8"/>
      <c r="CE8" s="11"/>
      <c r="CF8" s="11"/>
      <c r="CG8" s="11"/>
      <c r="CH8" s="11"/>
      <c r="CI8" s="11"/>
      <c r="CJ8" s="11"/>
      <c r="CK8" s="8"/>
      <c r="CL8" s="11"/>
      <c r="CM8" s="11"/>
      <c r="CN8" s="11"/>
      <c r="CO8" s="11"/>
      <c r="CP8" s="11"/>
      <c r="CQ8" s="11"/>
      <c r="CR8" s="8"/>
      <c r="CS8" s="11"/>
      <c r="CT8" s="11"/>
      <c r="CU8" s="11"/>
      <c r="CV8" s="11"/>
      <c r="CW8" s="11"/>
      <c r="CX8" s="11"/>
      <c r="CY8" s="8"/>
      <c r="CZ8" s="11"/>
      <c r="DA8" s="11"/>
      <c r="DB8" s="11"/>
      <c r="DC8" s="11"/>
      <c r="DD8" s="11"/>
      <c r="DE8" s="11"/>
      <c r="DF8" s="8"/>
      <c r="DG8" s="11"/>
      <c r="DH8" s="11"/>
      <c r="DI8" s="11"/>
      <c r="DJ8" s="11"/>
      <c r="DK8" s="11"/>
      <c r="DL8" s="11"/>
      <c r="DM8" s="8"/>
      <c r="DN8" s="11"/>
      <c r="DO8" s="11"/>
      <c r="DP8" s="11"/>
      <c r="DQ8" s="11"/>
      <c r="DR8" s="11"/>
      <c r="DS8" s="11"/>
      <c r="DT8" s="8"/>
      <c r="DU8" s="11"/>
      <c r="DV8" s="11"/>
      <c r="DW8" s="11"/>
      <c r="DX8" s="11"/>
      <c r="DY8" s="11"/>
      <c r="DZ8" s="11"/>
      <c r="EA8" s="8"/>
      <c r="EB8" s="11"/>
      <c r="EC8" s="11"/>
      <c r="ED8" s="11"/>
      <c r="EE8" s="11"/>
      <c r="EF8" s="11"/>
      <c r="EG8" s="11"/>
      <c r="EH8" s="8"/>
      <c r="EI8" s="11"/>
      <c r="EJ8" s="11"/>
      <c r="EK8" s="11"/>
      <c r="EL8" s="11"/>
      <c r="EM8" s="11"/>
      <c r="EN8" s="11"/>
      <c r="EO8" s="8"/>
      <c r="EP8" s="11"/>
      <c r="EQ8" s="11"/>
      <c r="ER8" s="11"/>
      <c r="ES8" s="11"/>
      <c r="ET8" s="11"/>
      <c r="EU8" s="11"/>
      <c r="EV8" s="8"/>
      <c r="EW8" s="11"/>
      <c r="EX8" s="11"/>
      <c r="EY8" s="11"/>
      <c r="EZ8" s="11"/>
      <c r="FA8" s="11"/>
      <c r="FB8" s="11"/>
      <c r="FC8" s="8"/>
      <c r="FD8" s="11"/>
      <c r="FE8" s="11"/>
      <c r="FF8" s="11"/>
      <c r="FG8" s="11"/>
      <c r="FH8" s="11"/>
      <c r="FI8" s="11"/>
      <c r="FJ8" s="8"/>
      <c r="FK8" s="11"/>
      <c r="FL8" s="11"/>
      <c r="FM8" s="11"/>
      <c r="FN8" s="11"/>
      <c r="FO8" s="11"/>
      <c r="FP8" s="11"/>
      <c r="FQ8" s="8"/>
      <c r="FR8" s="11"/>
      <c r="FS8" s="11"/>
      <c r="FT8" s="11"/>
      <c r="FU8" s="11"/>
      <c r="FV8" s="11"/>
      <c r="FW8" s="11"/>
      <c r="FX8" s="8"/>
      <c r="FY8" s="11"/>
      <c r="FZ8" s="11"/>
      <c r="GA8" s="11"/>
      <c r="GB8" s="11"/>
      <c r="GC8" s="11"/>
      <c r="GD8" s="11"/>
      <c r="GE8" s="8"/>
      <c r="GF8" s="11"/>
      <c r="GG8" s="11"/>
      <c r="GH8" s="11"/>
      <c r="GI8" s="11"/>
      <c r="GJ8" s="11"/>
      <c r="GK8" s="11"/>
      <c r="GL8" s="8"/>
      <c r="GM8" s="11"/>
      <c r="GN8" s="11"/>
      <c r="GO8" s="11"/>
      <c r="GP8" s="11"/>
      <c r="GQ8" s="11"/>
      <c r="GR8" s="11"/>
      <c r="GS8" s="8"/>
      <c r="GT8" s="11"/>
      <c r="GU8" s="11"/>
      <c r="GV8" s="11"/>
      <c r="GW8" s="11"/>
      <c r="GX8" s="11"/>
      <c r="GY8" s="11"/>
      <c r="GZ8" s="8"/>
      <c r="HA8" s="11"/>
      <c r="HB8" s="11"/>
      <c r="HC8" s="11"/>
      <c r="HD8" s="11"/>
      <c r="HE8" s="11"/>
      <c r="HF8" s="11"/>
      <c r="HG8" s="8"/>
    </row>
    <row r="9" spans="1:216" ht="15.75" thickBot="1" x14ac:dyDescent="0.3">
      <c r="A9" s="62"/>
      <c r="B9" s="2" t="s">
        <v>8</v>
      </c>
      <c r="C9" s="21" t="s">
        <v>24</v>
      </c>
      <c r="D9" s="4">
        <f t="shared" si="0"/>
        <v>10</v>
      </c>
      <c r="E9" s="4">
        <v>2</v>
      </c>
      <c r="F9" s="30"/>
      <c r="G9" s="30"/>
      <c r="H9" s="30"/>
      <c r="I9" s="30"/>
      <c r="J9" s="30"/>
      <c r="K9" s="30"/>
      <c r="L9" s="32"/>
      <c r="M9" s="30"/>
      <c r="N9" s="30"/>
      <c r="O9" s="30"/>
      <c r="P9" s="30"/>
      <c r="Q9" s="30"/>
      <c r="R9" s="30"/>
      <c r="S9" s="32"/>
      <c r="T9" s="30"/>
      <c r="U9" s="30">
        <v>1</v>
      </c>
      <c r="V9" s="30">
        <v>1</v>
      </c>
      <c r="W9" s="30"/>
      <c r="X9" s="30">
        <v>1</v>
      </c>
      <c r="Y9" s="30"/>
      <c r="Z9" s="32"/>
      <c r="AA9" s="30"/>
      <c r="AB9" s="30">
        <v>1</v>
      </c>
      <c r="AC9" s="30">
        <v>1</v>
      </c>
      <c r="AD9" s="30">
        <v>1</v>
      </c>
      <c r="AE9" s="30">
        <v>1</v>
      </c>
      <c r="AF9" s="30"/>
      <c r="AG9" s="32"/>
      <c r="AH9" s="30">
        <v>1</v>
      </c>
      <c r="AI9" s="30"/>
      <c r="AJ9" s="30"/>
      <c r="AK9" s="30"/>
      <c r="AL9" s="30">
        <v>1</v>
      </c>
      <c r="AM9" s="30"/>
      <c r="AN9" s="32"/>
      <c r="AO9" s="10">
        <v>1</v>
      </c>
      <c r="AP9" s="11"/>
      <c r="AQ9" s="11"/>
      <c r="AR9" s="11"/>
      <c r="AS9" s="11"/>
      <c r="AT9" s="11"/>
      <c r="AU9" s="32"/>
      <c r="AV9" s="11"/>
      <c r="AW9" s="11"/>
      <c r="AX9" s="11"/>
      <c r="AY9" s="11"/>
      <c r="AZ9" s="11"/>
      <c r="BA9" s="11"/>
      <c r="BB9" s="8"/>
      <c r="BC9" s="11"/>
      <c r="BD9" s="11"/>
      <c r="BE9" s="11"/>
      <c r="BF9" s="11"/>
      <c r="BG9" s="11"/>
      <c r="BH9" s="11"/>
      <c r="BI9" s="8"/>
      <c r="BJ9" s="11"/>
      <c r="BK9" s="11"/>
      <c r="BL9" s="11"/>
      <c r="BM9" s="11"/>
      <c r="BN9" s="11"/>
      <c r="BO9" s="11"/>
      <c r="BP9" s="8"/>
      <c r="BQ9" s="11"/>
      <c r="BR9" s="11"/>
      <c r="BS9" s="11"/>
      <c r="BT9" s="11"/>
      <c r="BU9" s="11"/>
      <c r="BV9" s="11"/>
      <c r="BW9" s="8"/>
      <c r="BX9" s="11"/>
      <c r="BY9" s="11"/>
      <c r="BZ9" s="11"/>
      <c r="CA9" s="11"/>
      <c r="CB9" s="11"/>
      <c r="CC9" s="11"/>
      <c r="CD9" s="8"/>
      <c r="CE9" s="11"/>
      <c r="CF9" s="11"/>
      <c r="CG9" s="11"/>
      <c r="CH9" s="11"/>
      <c r="CI9" s="11"/>
      <c r="CJ9" s="11"/>
      <c r="CK9" s="8"/>
      <c r="CL9" s="11"/>
      <c r="CM9" s="11"/>
      <c r="CN9" s="11"/>
      <c r="CO9" s="11"/>
      <c r="CP9" s="11"/>
      <c r="CQ9" s="11"/>
      <c r="CR9" s="8"/>
      <c r="CS9" s="11"/>
      <c r="CT9" s="11"/>
      <c r="CU9" s="11"/>
      <c r="CV9" s="11"/>
      <c r="CW9" s="11"/>
      <c r="CX9" s="11"/>
      <c r="CY9" s="8"/>
      <c r="CZ9" s="11"/>
      <c r="DA9" s="11"/>
      <c r="DB9" s="11"/>
      <c r="DC9" s="11"/>
      <c r="DD9" s="11"/>
      <c r="DE9" s="11"/>
      <c r="DF9" s="8"/>
      <c r="DG9" s="11"/>
      <c r="DH9" s="11"/>
      <c r="DI9" s="11"/>
      <c r="DJ9" s="11"/>
      <c r="DK9" s="11"/>
      <c r="DL9" s="11"/>
      <c r="DM9" s="8"/>
      <c r="DN9" s="11"/>
      <c r="DO9" s="11"/>
      <c r="DP9" s="11"/>
      <c r="DQ9" s="11"/>
      <c r="DR9" s="11"/>
      <c r="DS9" s="11"/>
      <c r="DT9" s="8"/>
      <c r="DU9" s="11"/>
      <c r="DV9" s="11"/>
      <c r="DW9" s="11"/>
      <c r="DX9" s="11"/>
      <c r="DY9" s="11"/>
      <c r="DZ9" s="11"/>
      <c r="EA9" s="8"/>
      <c r="EB9" s="11"/>
      <c r="EC9" s="11"/>
      <c r="ED9" s="11"/>
      <c r="EE9" s="11"/>
      <c r="EF9" s="11"/>
      <c r="EG9" s="11"/>
      <c r="EH9" s="8"/>
      <c r="EI9" s="11"/>
      <c r="EJ9" s="11"/>
      <c r="EK9" s="11"/>
      <c r="EL9" s="11"/>
      <c r="EM9" s="11"/>
      <c r="EN9" s="11"/>
      <c r="EO9" s="8"/>
      <c r="EP9" s="11"/>
      <c r="EQ9" s="11"/>
      <c r="ER9" s="11"/>
      <c r="ES9" s="11"/>
      <c r="ET9" s="11"/>
      <c r="EU9" s="11"/>
      <c r="EV9" s="8"/>
      <c r="EW9" s="11"/>
      <c r="EX9" s="11"/>
      <c r="EY9" s="11"/>
      <c r="EZ9" s="11"/>
      <c r="FA9" s="11"/>
      <c r="FB9" s="11"/>
      <c r="FC9" s="8"/>
      <c r="FD9" s="11"/>
      <c r="FE9" s="11"/>
      <c r="FF9" s="11"/>
      <c r="FG9" s="11"/>
      <c r="FH9" s="11"/>
      <c r="FI9" s="11"/>
      <c r="FJ9" s="8"/>
      <c r="FK9" s="11"/>
      <c r="FL9" s="11"/>
      <c r="FM9" s="11"/>
      <c r="FN9" s="11"/>
      <c r="FO9" s="11"/>
      <c r="FP9" s="11"/>
      <c r="FQ9" s="8"/>
      <c r="FR9" s="11"/>
      <c r="FS9" s="11"/>
      <c r="FT9" s="11"/>
      <c r="FU9" s="11"/>
      <c r="FV9" s="11"/>
      <c r="FW9" s="11"/>
      <c r="FX9" s="8"/>
      <c r="FY9" s="11"/>
      <c r="FZ9" s="11"/>
      <c r="GA9" s="11"/>
      <c r="GB9" s="11"/>
      <c r="GC9" s="11"/>
      <c r="GD9" s="11"/>
      <c r="GE9" s="8"/>
      <c r="GF9" s="11"/>
      <c r="GG9" s="11"/>
      <c r="GH9" s="11"/>
      <c r="GI9" s="11"/>
      <c r="GJ9" s="11"/>
      <c r="GK9" s="11"/>
      <c r="GL9" s="8"/>
      <c r="GM9" s="11"/>
      <c r="GN9" s="11"/>
      <c r="GO9" s="11"/>
      <c r="GP9" s="11"/>
      <c r="GQ9" s="11"/>
      <c r="GR9" s="11"/>
      <c r="GS9" s="8"/>
      <c r="GT9" s="11"/>
      <c r="GU9" s="11"/>
      <c r="GV9" s="11"/>
      <c r="GW9" s="11"/>
      <c r="GX9" s="11"/>
      <c r="GY9" s="11"/>
      <c r="GZ9" s="8"/>
      <c r="HA9" s="11"/>
      <c r="HB9" s="11"/>
      <c r="HC9" s="11"/>
      <c r="HD9" s="11"/>
      <c r="HE9" s="11"/>
      <c r="HF9" s="11"/>
      <c r="HG9" s="8"/>
    </row>
    <row r="10" spans="1:216" ht="15.75" thickBot="1" x14ac:dyDescent="0.3">
      <c r="A10" s="80"/>
      <c r="B10" s="81" t="s">
        <v>64</v>
      </c>
      <c r="C10" s="82"/>
      <c r="D10" s="4">
        <f t="shared" si="0"/>
        <v>88</v>
      </c>
      <c r="E10" s="4">
        <v>2</v>
      </c>
      <c r="F10" s="30"/>
      <c r="G10" s="30"/>
      <c r="H10" s="30"/>
      <c r="I10" s="30"/>
      <c r="J10" s="30"/>
      <c r="K10" s="30"/>
      <c r="L10" s="32"/>
      <c r="M10" s="30"/>
      <c r="N10" s="30"/>
      <c r="O10" s="30"/>
      <c r="P10" s="30"/>
      <c r="Q10" s="30"/>
      <c r="R10" s="30"/>
      <c r="S10" s="32"/>
      <c r="T10" s="30"/>
      <c r="U10" s="30"/>
      <c r="V10" s="30"/>
      <c r="W10" s="30"/>
      <c r="X10" s="30"/>
      <c r="Y10" s="30"/>
      <c r="Z10" s="32"/>
      <c r="AA10" s="30"/>
      <c r="AB10" s="30"/>
      <c r="AC10" s="30"/>
      <c r="AD10" s="30"/>
      <c r="AE10" s="30"/>
      <c r="AF10" s="30"/>
      <c r="AG10" s="32"/>
      <c r="AH10" s="30"/>
      <c r="AI10" s="30"/>
      <c r="AJ10" s="30"/>
      <c r="AK10" s="30"/>
      <c r="AL10" s="30"/>
      <c r="AM10" s="30"/>
      <c r="AN10" s="32"/>
      <c r="AO10" s="10">
        <v>23</v>
      </c>
      <c r="AP10" s="11"/>
      <c r="AQ10" s="11"/>
      <c r="AR10" s="11"/>
      <c r="AS10" s="11"/>
      <c r="AT10" s="11"/>
      <c r="AU10" s="32"/>
      <c r="AV10" s="11">
        <v>11</v>
      </c>
      <c r="AW10" s="11"/>
      <c r="AX10" s="11"/>
      <c r="AY10" s="11"/>
      <c r="AZ10" s="11"/>
      <c r="BA10" s="11"/>
      <c r="BB10" s="8"/>
      <c r="BC10" s="11"/>
      <c r="BD10" s="11">
        <v>22</v>
      </c>
      <c r="BE10" s="11"/>
      <c r="BF10" s="11"/>
      <c r="BG10" s="11"/>
      <c r="BH10" s="11"/>
      <c r="BI10" s="8"/>
      <c r="BJ10" s="11"/>
      <c r="BK10" s="11"/>
      <c r="BL10" s="11"/>
      <c r="BM10" s="11">
        <v>15</v>
      </c>
      <c r="BN10" s="11">
        <v>3</v>
      </c>
      <c r="BO10" s="11"/>
      <c r="BP10" s="8"/>
      <c r="BQ10" s="11">
        <v>14</v>
      </c>
      <c r="BR10" s="11"/>
      <c r="BS10" s="11"/>
      <c r="BT10" s="11"/>
      <c r="BU10" s="11"/>
      <c r="BV10" s="11"/>
      <c r="BW10" s="8"/>
      <c r="BX10" s="11"/>
      <c r="BY10" s="11"/>
      <c r="BZ10" s="11"/>
      <c r="CA10" s="11"/>
      <c r="CB10" s="11"/>
      <c r="CC10" s="11"/>
      <c r="CD10" s="8"/>
      <c r="CE10" s="11"/>
      <c r="CF10" s="11"/>
      <c r="CG10" s="11"/>
      <c r="CH10" s="11"/>
      <c r="CI10" s="11"/>
      <c r="CJ10" s="11"/>
      <c r="CK10" s="8"/>
      <c r="CL10" s="11"/>
      <c r="CM10" s="11"/>
      <c r="CN10" s="11"/>
      <c r="CO10" s="11"/>
      <c r="CP10" s="11"/>
      <c r="CQ10" s="11"/>
      <c r="CR10" s="8"/>
      <c r="CS10" s="11"/>
      <c r="CT10" s="11"/>
      <c r="CU10" s="11"/>
      <c r="CV10" s="11"/>
      <c r="CW10" s="11"/>
      <c r="CX10" s="11"/>
      <c r="CY10" s="8"/>
      <c r="CZ10" s="11"/>
      <c r="DA10" s="11"/>
      <c r="DB10" s="11"/>
      <c r="DC10" s="11"/>
      <c r="DD10" s="11"/>
      <c r="DE10" s="11"/>
      <c r="DF10" s="8"/>
      <c r="DG10" s="11"/>
      <c r="DH10" s="11"/>
      <c r="DI10" s="11"/>
      <c r="DJ10" s="11"/>
      <c r="DK10" s="11"/>
      <c r="DL10" s="11"/>
      <c r="DM10" s="8"/>
      <c r="DN10" s="11"/>
      <c r="DO10" s="11"/>
      <c r="DP10" s="11"/>
      <c r="DQ10" s="11"/>
      <c r="DR10" s="11"/>
      <c r="DS10" s="11"/>
      <c r="DT10" s="8"/>
      <c r="DU10" s="11"/>
      <c r="DV10" s="11"/>
      <c r="DW10" s="11"/>
      <c r="DX10" s="11"/>
      <c r="DY10" s="11"/>
      <c r="DZ10" s="11"/>
      <c r="EA10" s="8"/>
      <c r="EB10" s="11"/>
      <c r="EC10" s="11"/>
      <c r="ED10" s="11"/>
      <c r="EE10" s="11"/>
      <c r="EF10" s="11"/>
      <c r="EG10" s="11"/>
      <c r="EH10" s="8"/>
      <c r="EI10" s="11"/>
      <c r="EJ10" s="11"/>
      <c r="EK10" s="11"/>
      <c r="EL10" s="11"/>
      <c r="EM10" s="11"/>
      <c r="EN10" s="11"/>
      <c r="EO10" s="8"/>
      <c r="EP10" s="11"/>
      <c r="EQ10" s="11"/>
      <c r="ER10" s="11"/>
      <c r="ES10" s="11"/>
      <c r="ET10" s="11"/>
      <c r="EU10" s="11"/>
      <c r="EV10" s="8"/>
      <c r="EW10" s="11"/>
      <c r="EX10" s="11"/>
      <c r="EY10" s="11"/>
      <c r="EZ10" s="11"/>
      <c r="FA10" s="11"/>
      <c r="FB10" s="11"/>
      <c r="FC10" s="8"/>
      <c r="FD10" s="11"/>
      <c r="FE10" s="11"/>
      <c r="FF10" s="11"/>
      <c r="FG10" s="11"/>
      <c r="FH10" s="11"/>
      <c r="FI10" s="11"/>
      <c r="FJ10" s="8"/>
      <c r="FK10" s="11"/>
      <c r="FL10" s="11"/>
      <c r="FM10" s="11"/>
      <c r="FN10" s="11"/>
      <c r="FO10" s="11"/>
      <c r="FP10" s="11"/>
      <c r="FQ10" s="8"/>
      <c r="FR10" s="11"/>
      <c r="FS10" s="11"/>
      <c r="FT10" s="11"/>
      <c r="FU10" s="11"/>
      <c r="FV10" s="11"/>
      <c r="FW10" s="11"/>
      <c r="FX10" s="8"/>
      <c r="FY10" s="11"/>
      <c r="FZ10" s="11"/>
      <c r="GA10" s="11"/>
      <c r="GB10" s="11"/>
      <c r="GC10" s="11"/>
      <c r="GD10" s="11"/>
      <c r="GE10" s="8"/>
      <c r="GF10" s="11"/>
      <c r="GG10" s="11"/>
      <c r="GH10" s="11"/>
      <c r="GI10" s="11"/>
      <c r="GJ10" s="11"/>
      <c r="GK10" s="11"/>
      <c r="GL10" s="8"/>
      <c r="GM10" s="11"/>
      <c r="GN10" s="11"/>
      <c r="GO10" s="11"/>
      <c r="GP10" s="11"/>
      <c r="GQ10" s="11"/>
      <c r="GR10" s="11"/>
      <c r="GS10" s="8"/>
      <c r="GT10" s="11"/>
      <c r="GU10" s="11"/>
      <c r="GV10" s="11"/>
      <c r="GW10" s="11"/>
      <c r="GX10" s="11"/>
      <c r="GY10" s="11"/>
      <c r="GZ10" s="8"/>
      <c r="HA10" s="11"/>
      <c r="HB10" s="11"/>
      <c r="HC10" s="11"/>
      <c r="HD10" s="11"/>
      <c r="HE10" s="11"/>
      <c r="HF10" s="11"/>
      <c r="HG10" s="8"/>
    </row>
    <row r="11" spans="1:216" ht="15.75" thickBot="1" x14ac:dyDescent="0.3">
      <c r="A11" s="74" t="s">
        <v>0</v>
      </c>
      <c r="B11" s="76"/>
      <c r="C11" s="13"/>
      <c r="D11" s="34">
        <f>SUM(F5:CR10)</f>
        <v>134</v>
      </c>
      <c r="E11" s="34">
        <f t="shared" ref="E11:BO11" si="1">SUM(E5:E10)</f>
        <v>12</v>
      </c>
      <c r="F11" s="34">
        <f t="shared" si="1"/>
        <v>0</v>
      </c>
      <c r="G11" s="34">
        <f t="shared" si="1"/>
        <v>1</v>
      </c>
      <c r="H11" s="34">
        <f t="shared" si="1"/>
        <v>0</v>
      </c>
      <c r="I11" s="34">
        <f t="shared" si="1"/>
        <v>4</v>
      </c>
      <c r="J11" s="34">
        <f t="shared" si="1"/>
        <v>2</v>
      </c>
      <c r="K11" s="34">
        <f t="shared" si="1"/>
        <v>0</v>
      </c>
      <c r="L11" s="34">
        <f t="shared" si="1"/>
        <v>0</v>
      </c>
      <c r="M11" s="34">
        <f t="shared" si="1"/>
        <v>0</v>
      </c>
      <c r="N11" s="34">
        <f>SUM(N5:N10)</f>
        <v>4</v>
      </c>
      <c r="O11" s="34">
        <f t="shared" si="1"/>
        <v>0</v>
      </c>
      <c r="P11" s="34">
        <f t="shared" si="1"/>
        <v>4</v>
      </c>
      <c r="Q11" s="34">
        <f t="shared" si="1"/>
        <v>0</v>
      </c>
      <c r="R11" s="34">
        <f t="shared" si="1"/>
        <v>0</v>
      </c>
      <c r="S11" s="34">
        <f t="shared" si="1"/>
        <v>0</v>
      </c>
      <c r="T11" s="34">
        <f t="shared" si="1"/>
        <v>0</v>
      </c>
      <c r="U11" s="34">
        <f t="shared" si="1"/>
        <v>2</v>
      </c>
      <c r="V11" s="34">
        <f t="shared" si="1"/>
        <v>4</v>
      </c>
      <c r="W11" s="34">
        <f t="shared" si="1"/>
        <v>1</v>
      </c>
      <c r="X11" s="34">
        <f t="shared" si="1"/>
        <v>4</v>
      </c>
      <c r="Y11" s="34">
        <f t="shared" si="1"/>
        <v>0</v>
      </c>
      <c r="Z11" s="34">
        <f t="shared" si="1"/>
        <v>0</v>
      </c>
      <c r="AA11" s="34">
        <f t="shared" si="1"/>
        <v>1</v>
      </c>
      <c r="AB11" s="34">
        <f t="shared" si="1"/>
        <v>1</v>
      </c>
      <c r="AC11" s="34">
        <f t="shared" si="1"/>
        <v>4</v>
      </c>
      <c r="AD11" s="34">
        <f t="shared" si="1"/>
        <v>4</v>
      </c>
      <c r="AE11" s="34">
        <f t="shared" si="1"/>
        <v>2</v>
      </c>
      <c r="AF11" s="34">
        <f t="shared" si="1"/>
        <v>0</v>
      </c>
      <c r="AG11" s="34">
        <f t="shared" si="1"/>
        <v>0</v>
      </c>
      <c r="AH11" s="34">
        <f t="shared" si="1"/>
        <v>2</v>
      </c>
      <c r="AI11" s="34">
        <f t="shared" si="1"/>
        <v>2</v>
      </c>
      <c r="AJ11" s="34">
        <f t="shared" si="1"/>
        <v>0</v>
      </c>
      <c r="AK11" s="34">
        <f t="shared" si="1"/>
        <v>0</v>
      </c>
      <c r="AL11" s="34">
        <f t="shared" si="1"/>
        <v>1</v>
      </c>
      <c r="AM11" s="34">
        <f t="shared" si="1"/>
        <v>0</v>
      </c>
      <c r="AN11" s="34">
        <f t="shared" si="1"/>
        <v>0</v>
      </c>
      <c r="AO11" s="34">
        <f t="shared" si="1"/>
        <v>24</v>
      </c>
      <c r="AP11" s="34">
        <f t="shared" si="1"/>
        <v>2</v>
      </c>
      <c r="AQ11" s="34">
        <f t="shared" si="1"/>
        <v>0</v>
      </c>
      <c r="AR11" s="34">
        <f t="shared" si="1"/>
        <v>0</v>
      </c>
      <c r="AS11" s="34">
        <f t="shared" si="1"/>
        <v>0</v>
      </c>
      <c r="AT11" s="34">
        <f t="shared" si="1"/>
        <v>0</v>
      </c>
      <c r="AU11" s="34">
        <f t="shared" si="1"/>
        <v>0</v>
      </c>
      <c r="AV11" s="34">
        <f t="shared" si="1"/>
        <v>11</v>
      </c>
      <c r="AW11" s="34">
        <f t="shared" si="1"/>
        <v>0</v>
      </c>
      <c r="AX11" s="34">
        <f t="shared" si="1"/>
        <v>0</v>
      </c>
      <c r="AY11" s="34">
        <f t="shared" si="1"/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34">
        <f t="shared" si="1"/>
        <v>22</v>
      </c>
      <c r="BE11" s="34">
        <f t="shared" si="1"/>
        <v>0</v>
      </c>
      <c r="BF11" s="34">
        <f t="shared" si="1"/>
        <v>0</v>
      </c>
      <c r="BG11" s="34">
        <f t="shared" si="1"/>
        <v>0</v>
      </c>
      <c r="BH11" s="34">
        <f t="shared" si="1"/>
        <v>0</v>
      </c>
      <c r="BI11" s="34">
        <f t="shared" si="1"/>
        <v>0</v>
      </c>
      <c r="BJ11" s="34">
        <f t="shared" si="1"/>
        <v>0</v>
      </c>
      <c r="BK11" s="34">
        <f t="shared" si="1"/>
        <v>0</v>
      </c>
      <c r="BL11" s="34">
        <f t="shared" si="1"/>
        <v>0</v>
      </c>
      <c r="BM11" s="34">
        <f t="shared" si="1"/>
        <v>15</v>
      </c>
      <c r="BN11" s="34">
        <f t="shared" si="1"/>
        <v>3</v>
      </c>
      <c r="BO11" s="34">
        <f t="shared" si="1"/>
        <v>0</v>
      </c>
      <c r="BP11" s="34">
        <f t="shared" ref="BP11:CR11" si="2">SUM(BP5:BP10)</f>
        <v>0</v>
      </c>
      <c r="BQ11" s="34">
        <f t="shared" si="2"/>
        <v>14</v>
      </c>
      <c r="BR11" s="34">
        <f t="shared" si="2"/>
        <v>0</v>
      </c>
      <c r="BS11" s="34">
        <f t="shared" si="2"/>
        <v>0</v>
      </c>
      <c r="BT11" s="34">
        <f t="shared" si="2"/>
        <v>0</v>
      </c>
      <c r="BU11" s="34">
        <f t="shared" si="2"/>
        <v>0</v>
      </c>
      <c r="BV11" s="34">
        <f t="shared" si="2"/>
        <v>0</v>
      </c>
      <c r="BW11" s="34">
        <f t="shared" si="2"/>
        <v>0</v>
      </c>
      <c r="BX11" s="34">
        <f t="shared" si="2"/>
        <v>0</v>
      </c>
      <c r="BY11" s="34">
        <f t="shared" si="2"/>
        <v>0</v>
      </c>
      <c r="BZ11" s="34">
        <f t="shared" si="2"/>
        <v>0</v>
      </c>
      <c r="CA11" s="34">
        <f t="shared" si="2"/>
        <v>0</v>
      </c>
      <c r="CB11" s="34">
        <f t="shared" si="2"/>
        <v>0</v>
      </c>
      <c r="CC11" s="34">
        <f t="shared" si="2"/>
        <v>0</v>
      </c>
      <c r="CD11" s="34">
        <f t="shared" si="2"/>
        <v>0</v>
      </c>
      <c r="CE11" s="34">
        <f t="shared" si="2"/>
        <v>0</v>
      </c>
      <c r="CF11" s="34">
        <f t="shared" si="2"/>
        <v>0</v>
      </c>
      <c r="CG11" s="34">
        <f t="shared" si="2"/>
        <v>0</v>
      </c>
      <c r="CH11" s="34">
        <f t="shared" si="2"/>
        <v>0</v>
      </c>
      <c r="CI11" s="34">
        <f t="shared" si="2"/>
        <v>0</v>
      </c>
      <c r="CJ11" s="34">
        <f t="shared" si="2"/>
        <v>0</v>
      </c>
      <c r="CK11" s="34">
        <f t="shared" si="2"/>
        <v>0</v>
      </c>
      <c r="CL11" s="34">
        <f t="shared" si="2"/>
        <v>0</v>
      </c>
      <c r="CM11" s="34">
        <f t="shared" si="2"/>
        <v>0</v>
      </c>
      <c r="CN11" s="34">
        <f t="shared" si="2"/>
        <v>0</v>
      </c>
      <c r="CO11" s="34">
        <f t="shared" si="2"/>
        <v>0</v>
      </c>
      <c r="CP11" s="34">
        <f t="shared" si="2"/>
        <v>0</v>
      </c>
      <c r="CQ11" s="34">
        <f t="shared" si="2"/>
        <v>0</v>
      </c>
      <c r="CR11" s="34">
        <f t="shared" si="2"/>
        <v>0</v>
      </c>
      <c r="CS11" s="34">
        <f t="shared" ref="CS11:FD11" si="3">SUM(CS5:CS10)</f>
        <v>0</v>
      </c>
      <c r="CT11" s="34">
        <f t="shared" si="3"/>
        <v>0</v>
      </c>
      <c r="CU11" s="34">
        <f t="shared" si="3"/>
        <v>0</v>
      </c>
      <c r="CV11" s="34">
        <f t="shared" si="3"/>
        <v>0</v>
      </c>
      <c r="CW11" s="34">
        <f t="shared" si="3"/>
        <v>0</v>
      </c>
      <c r="CX11" s="34">
        <f t="shared" si="3"/>
        <v>0</v>
      </c>
      <c r="CY11" s="34">
        <f t="shared" si="3"/>
        <v>0</v>
      </c>
      <c r="CZ11" s="34">
        <f t="shared" si="3"/>
        <v>0</v>
      </c>
      <c r="DA11" s="34">
        <f t="shared" si="3"/>
        <v>0</v>
      </c>
      <c r="DB11" s="34">
        <f t="shared" si="3"/>
        <v>0</v>
      </c>
      <c r="DC11" s="34">
        <f t="shared" si="3"/>
        <v>0</v>
      </c>
      <c r="DD11" s="34">
        <f t="shared" si="3"/>
        <v>0</v>
      </c>
      <c r="DE11" s="34">
        <f t="shared" si="3"/>
        <v>0</v>
      </c>
      <c r="DF11" s="34">
        <f t="shared" si="3"/>
        <v>0</v>
      </c>
      <c r="DG11" s="34">
        <f t="shared" si="3"/>
        <v>0</v>
      </c>
      <c r="DH11" s="34">
        <f t="shared" si="3"/>
        <v>0</v>
      </c>
      <c r="DI11" s="34">
        <f t="shared" si="3"/>
        <v>0</v>
      </c>
      <c r="DJ11" s="34">
        <f t="shared" si="3"/>
        <v>0</v>
      </c>
      <c r="DK11" s="34">
        <f t="shared" si="3"/>
        <v>0</v>
      </c>
      <c r="DL11" s="34">
        <f t="shared" si="3"/>
        <v>0</v>
      </c>
      <c r="DM11" s="34">
        <f t="shared" si="3"/>
        <v>0</v>
      </c>
      <c r="DN11" s="34">
        <f t="shared" si="3"/>
        <v>0</v>
      </c>
      <c r="DO11" s="34">
        <f t="shared" si="3"/>
        <v>0</v>
      </c>
      <c r="DP11" s="34">
        <f t="shared" si="3"/>
        <v>0</v>
      </c>
      <c r="DQ11" s="34">
        <f t="shared" si="3"/>
        <v>0</v>
      </c>
      <c r="DR11" s="34">
        <f t="shared" si="3"/>
        <v>0</v>
      </c>
      <c r="DS11" s="34">
        <f t="shared" si="3"/>
        <v>0</v>
      </c>
      <c r="DT11" s="34">
        <f t="shared" si="3"/>
        <v>0</v>
      </c>
      <c r="DU11" s="34">
        <f t="shared" si="3"/>
        <v>0</v>
      </c>
      <c r="DV11" s="34">
        <f t="shared" si="3"/>
        <v>0</v>
      </c>
      <c r="DW11" s="34">
        <f t="shared" si="3"/>
        <v>0</v>
      </c>
      <c r="DX11" s="34">
        <f t="shared" si="3"/>
        <v>0</v>
      </c>
      <c r="DY11" s="34">
        <f t="shared" si="3"/>
        <v>0</v>
      </c>
      <c r="DZ11" s="34">
        <f t="shared" si="3"/>
        <v>0</v>
      </c>
      <c r="EA11" s="34">
        <f t="shared" si="3"/>
        <v>0</v>
      </c>
      <c r="EB11" s="34">
        <f t="shared" si="3"/>
        <v>0</v>
      </c>
      <c r="EC11" s="34">
        <f t="shared" si="3"/>
        <v>0</v>
      </c>
      <c r="ED11" s="34">
        <f t="shared" si="3"/>
        <v>0</v>
      </c>
      <c r="EE11" s="34">
        <f t="shared" si="3"/>
        <v>0</v>
      </c>
      <c r="EF11" s="34">
        <f t="shared" si="3"/>
        <v>0</v>
      </c>
      <c r="EG11" s="34">
        <f t="shared" si="3"/>
        <v>0</v>
      </c>
      <c r="EH11" s="34">
        <f t="shared" si="3"/>
        <v>0</v>
      </c>
      <c r="EI11" s="34">
        <f t="shared" si="3"/>
        <v>0</v>
      </c>
      <c r="EJ11" s="34">
        <f t="shared" si="3"/>
        <v>0</v>
      </c>
      <c r="EK11" s="34">
        <f t="shared" si="3"/>
        <v>0</v>
      </c>
      <c r="EL11" s="34">
        <f t="shared" si="3"/>
        <v>0</v>
      </c>
      <c r="EM11" s="34">
        <f t="shared" si="3"/>
        <v>0</v>
      </c>
      <c r="EN11" s="34">
        <f t="shared" si="3"/>
        <v>0</v>
      </c>
      <c r="EO11" s="34">
        <f t="shared" si="3"/>
        <v>0</v>
      </c>
      <c r="EP11" s="34">
        <f t="shared" si="3"/>
        <v>0</v>
      </c>
      <c r="EQ11" s="34">
        <f t="shared" si="3"/>
        <v>0</v>
      </c>
      <c r="ER11" s="34">
        <f t="shared" si="3"/>
        <v>0</v>
      </c>
      <c r="ES11" s="34">
        <f t="shared" si="3"/>
        <v>0</v>
      </c>
      <c r="ET11" s="34">
        <f t="shared" si="3"/>
        <v>0</v>
      </c>
      <c r="EU11" s="34">
        <f t="shared" si="3"/>
        <v>0</v>
      </c>
      <c r="EV11" s="34">
        <f t="shared" si="3"/>
        <v>0</v>
      </c>
      <c r="EW11" s="34">
        <f t="shared" si="3"/>
        <v>0</v>
      </c>
      <c r="EX11" s="34">
        <f t="shared" si="3"/>
        <v>0</v>
      </c>
      <c r="EY11" s="34">
        <f t="shared" si="3"/>
        <v>0</v>
      </c>
      <c r="EZ11" s="34">
        <f t="shared" si="3"/>
        <v>0</v>
      </c>
      <c r="FA11" s="34">
        <f t="shared" si="3"/>
        <v>0</v>
      </c>
      <c r="FB11" s="34">
        <f t="shared" si="3"/>
        <v>0</v>
      </c>
      <c r="FC11" s="34">
        <f t="shared" si="3"/>
        <v>0</v>
      </c>
      <c r="FD11" s="34">
        <f t="shared" si="3"/>
        <v>0</v>
      </c>
      <c r="FE11" s="34">
        <f t="shared" ref="FE11:GL11" si="4">SUM(FE5:FE10)</f>
        <v>0</v>
      </c>
      <c r="FF11" s="34">
        <f t="shared" si="4"/>
        <v>0</v>
      </c>
      <c r="FG11" s="34">
        <f t="shared" si="4"/>
        <v>0</v>
      </c>
      <c r="FH11" s="34">
        <f t="shared" si="4"/>
        <v>0</v>
      </c>
      <c r="FI11" s="34">
        <f t="shared" si="4"/>
        <v>0</v>
      </c>
      <c r="FJ11" s="34">
        <f t="shared" si="4"/>
        <v>0</v>
      </c>
      <c r="FK11" s="34">
        <f t="shared" si="4"/>
        <v>0</v>
      </c>
      <c r="FL11" s="34">
        <f t="shared" si="4"/>
        <v>0</v>
      </c>
      <c r="FM11" s="34">
        <f t="shared" si="4"/>
        <v>0</v>
      </c>
      <c r="FN11" s="34">
        <f t="shared" si="4"/>
        <v>0</v>
      </c>
      <c r="FO11" s="34">
        <f t="shared" si="4"/>
        <v>0</v>
      </c>
      <c r="FP11" s="34">
        <f t="shared" si="4"/>
        <v>0</v>
      </c>
      <c r="FQ11" s="34">
        <f t="shared" si="4"/>
        <v>0</v>
      </c>
      <c r="FR11" s="34">
        <f t="shared" si="4"/>
        <v>0</v>
      </c>
      <c r="FS11" s="34">
        <f t="shared" si="4"/>
        <v>0</v>
      </c>
      <c r="FT11" s="34">
        <f t="shared" si="4"/>
        <v>0</v>
      </c>
      <c r="FU11" s="34">
        <f t="shared" si="4"/>
        <v>0</v>
      </c>
      <c r="FV11" s="34">
        <f t="shared" si="4"/>
        <v>0</v>
      </c>
      <c r="FW11" s="34">
        <f t="shared" si="4"/>
        <v>0</v>
      </c>
      <c r="FX11" s="34">
        <f t="shared" si="4"/>
        <v>0</v>
      </c>
      <c r="FY11" s="34">
        <f t="shared" si="4"/>
        <v>0</v>
      </c>
      <c r="FZ11" s="34">
        <f t="shared" si="4"/>
        <v>0</v>
      </c>
      <c r="GA11" s="34">
        <f t="shared" si="4"/>
        <v>0</v>
      </c>
      <c r="GB11" s="34">
        <f t="shared" si="4"/>
        <v>0</v>
      </c>
      <c r="GC11" s="34">
        <f t="shared" si="4"/>
        <v>0</v>
      </c>
      <c r="GD11" s="34">
        <f t="shared" si="4"/>
        <v>0</v>
      </c>
      <c r="GE11" s="34">
        <f t="shared" si="4"/>
        <v>0</v>
      </c>
      <c r="GF11" s="34">
        <f t="shared" si="4"/>
        <v>0</v>
      </c>
      <c r="GG11" s="34">
        <f t="shared" si="4"/>
        <v>0</v>
      </c>
      <c r="GH11" s="34">
        <f t="shared" si="4"/>
        <v>0</v>
      </c>
      <c r="GI11" s="34">
        <f t="shared" si="4"/>
        <v>0</v>
      </c>
      <c r="GJ11" s="34">
        <f t="shared" si="4"/>
        <v>0</v>
      </c>
      <c r="GK11" s="34">
        <f t="shared" si="4"/>
        <v>0</v>
      </c>
      <c r="GL11" s="34">
        <f t="shared" si="4"/>
        <v>0</v>
      </c>
      <c r="GM11" s="34">
        <f t="shared" ref="GM11:HG11" si="5">SUM(GM5:GM10)</f>
        <v>0</v>
      </c>
      <c r="GN11" s="34">
        <f t="shared" si="5"/>
        <v>0</v>
      </c>
      <c r="GO11" s="34">
        <f t="shared" si="5"/>
        <v>0</v>
      </c>
      <c r="GP11" s="34">
        <f t="shared" si="5"/>
        <v>0</v>
      </c>
      <c r="GQ11" s="34">
        <f t="shared" si="5"/>
        <v>0</v>
      </c>
      <c r="GR11" s="34">
        <f t="shared" si="5"/>
        <v>0</v>
      </c>
      <c r="GS11" s="34">
        <f t="shared" si="5"/>
        <v>0</v>
      </c>
      <c r="GT11" s="34">
        <f t="shared" si="5"/>
        <v>0</v>
      </c>
      <c r="GU11" s="34">
        <f t="shared" si="5"/>
        <v>0</v>
      </c>
      <c r="GV11" s="34">
        <f t="shared" si="5"/>
        <v>0</v>
      </c>
      <c r="GW11" s="34">
        <f t="shared" si="5"/>
        <v>0</v>
      </c>
      <c r="GX11" s="34">
        <f t="shared" si="5"/>
        <v>0</v>
      </c>
      <c r="GY11" s="34">
        <f t="shared" si="5"/>
        <v>0</v>
      </c>
      <c r="GZ11" s="34">
        <f t="shared" si="5"/>
        <v>0</v>
      </c>
      <c r="HA11" s="34">
        <f t="shared" si="5"/>
        <v>0</v>
      </c>
      <c r="HB11" s="34">
        <f t="shared" si="5"/>
        <v>0</v>
      </c>
      <c r="HC11" s="34">
        <f t="shared" si="5"/>
        <v>0</v>
      </c>
      <c r="HD11" s="34">
        <f t="shared" si="5"/>
        <v>0</v>
      </c>
      <c r="HE11" s="34">
        <f t="shared" si="5"/>
        <v>0</v>
      </c>
      <c r="HF11" s="34">
        <f t="shared" si="5"/>
        <v>0</v>
      </c>
      <c r="HG11" s="34">
        <f t="shared" si="5"/>
        <v>0</v>
      </c>
    </row>
    <row r="12" spans="1:216" ht="15.75" thickBot="1" x14ac:dyDescent="0.3">
      <c r="A12" s="74" t="s">
        <v>19</v>
      </c>
      <c r="B12" s="75"/>
      <c r="C12" s="75"/>
      <c r="D12" s="22"/>
      <c r="E12" s="48"/>
      <c r="F12" s="22">
        <f>F11/E11</f>
        <v>0</v>
      </c>
      <c r="G12" s="22">
        <f>G11/E11</f>
        <v>8.3333333333333329E-2</v>
      </c>
      <c r="H12" s="22">
        <f>H11/E11</f>
        <v>0</v>
      </c>
      <c r="I12" s="22">
        <f>I11/E11</f>
        <v>0.33333333333333331</v>
      </c>
      <c r="J12" s="22">
        <f>J11/E11</f>
        <v>0.16666666666666666</v>
      </c>
      <c r="K12" s="22">
        <f>K11/E11</f>
        <v>0</v>
      </c>
      <c r="L12" s="35">
        <v>0</v>
      </c>
      <c r="M12" s="22">
        <f>M11/E11</f>
        <v>0</v>
      </c>
      <c r="N12" s="22">
        <f>N11/E11</f>
        <v>0.33333333333333331</v>
      </c>
      <c r="O12" s="22">
        <f>O11/E11</f>
        <v>0</v>
      </c>
      <c r="P12" s="22">
        <f>P11/E11</f>
        <v>0.33333333333333331</v>
      </c>
      <c r="Q12" s="22">
        <f>Q11/E11</f>
        <v>0</v>
      </c>
      <c r="R12" s="22">
        <f>R11/E11</f>
        <v>0</v>
      </c>
      <c r="S12" s="22"/>
      <c r="T12" s="22">
        <f>T11/E11</f>
        <v>0</v>
      </c>
      <c r="U12" s="22">
        <f>U11/E11</f>
        <v>0.16666666666666666</v>
      </c>
      <c r="V12" s="22">
        <f>V11/E11</f>
        <v>0.33333333333333331</v>
      </c>
      <c r="W12" s="22">
        <f>W11/E11</f>
        <v>8.3333333333333329E-2</v>
      </c>
      <c r="X12" s="22">
        <f>X11/E11</f>
        <v>0.33333333333333331</v>
      </c>
      <c r="Y12" s="22">
        <f>Y11/E11</f>
        <v>0</v>
      </c>
      <c r="Z12" s="22"/>
      <c r="AA12" s="22">
        <f>AA11/E11</f>
        <v>8.3333333333333329E-2</v>
      </c>
      <c r="AB12" s="22">
        <f>AB11/E11</f>
        <v>8.3333333333333329E-2</v>
      </c>
      <c r="AC12" s="22">
        <f>AC11/E11</f>
        <v>0.33333333333333331</v>
      </c>
      <c r="AD12" s="22">
        <f>AD11/E11</f>
        <v>0.33333333333333331</v>
      </c>
      <c r="AE12" s="22">
        <f>AE11/E11</f>
        <v>0.16666666666666666</v>
      </c>
      <c r="AF12" s="22">
        <f>AF11/E11</f>
        <v>0</v>
      </c>
      <c r="AG12" s="22">
        <f>AG11/E11</f>
        <v>0</v>
      </c>
      <c r="AH12" s="22">
        <f>AH11/E11</f>
        <v>0.16666666666666666</v>
      </c>
      <c r="AI12" s="22">
        <f>AI11/E11</f>
        <v>0.16666666666666666</v>
      </c>
      <c r="AJ12" s="22">
        <f>AJ11/E11</f>
        <v>0</v>
      </c>
      <c r="AK12" s="22">
        <f>AK11/E11</f>
        <v>0</v>
      </c>
      <c r="AL12" s="22">
        <f>AL11/E11</f>
        <v>8.3333333333333329E-2</v>
      </c>
      <c r="AM12" s="22">
        <f>AM11/E11</f>
        <v>0</v>
      </c>
      <c r="AN12" s="22"/>
      <c r="AO12" s="22">
        <f>AO11/E11</f>
        <v>2</v>
      </c>
      <c r="AP12" s="22">
        <f>AP11/E11</f>
        <v>0.16666666666666666</v>
      </c>
      <c r="AQ12" s="22">
        <f>AQ11/E11</f>
        <v>0</v>
      </c>
      <c r="AR12" s="22">
        <f>AR11/E11</f>
        <v>0</v>
      </c>
      <c r="AS12" s="22">
        <f>AS11/E11</f>
        <v>0</v>
      </c>
      <c r="AT12" s="22">
        <f>AT11/E11</f>
        <v>0</v>
      </c>
      <c r="AU12" s="22"/>
      <c r="AV12" s="22">
        <f>AV11/E11</f>
        <v>0.91666666666666663</v>
      </c>
      <c r="AW12" s="22">
        <f>AW11/E11</f>
        <v>0</v>
      </c>
      <c r="AX12" s="22">
        <f>AX11/E11</f>
        <v>0</v>
      </c>
      <c r="AY12" s="22">
        <f>AY11/E11</f>
        <v>0</v>
      </c>
      <c r="AZ12" s="22">
        <f>AZ11/E11</f>
        <v>0</v>
      </c>
      <c r="BA12" s="22">
        <f>BA11/E11</f>
        <v>0</v>
      </c>
      <c r="BB12" s="22"/>
      <c r="BC12" s="22">
        <f>BC11/E11</f>
        <v>0</v>
      </c>
      <c r="BD12" s="22">
        <f>BD11/E11</f>
        <v>1.8333333333333333</v>
      </c>
      <c r="BE12" s="22">
        <f>BE11/E11</f>
        <v>0</v>
      </c>
      <c r="BF12" s="22">
        <f>BF11/E11</f>
        <v>0</v>
      </c>
      <c r="BG12" s="22">
        <f>BG11/E11</f>
        <v>0</v>
      </c>
      <c r="BH12" s="22">
        <f>BH11/E11</f>
        <v>0</v>
      </c>
      <c r="BI12" s="22"/>
      <c r="BJ12" s="22">
        <f>BJ11/E11</f>
        <v>0</v>
      </c>
      <c r="BK12" s="22">
        <f>BK11/E11</f>
        <v>0</v>
      </c>
      <c r="BL12" s="22">
        <f>BL11/E11</f>
        <v>0</v>
      </c>
      <c r="BM12" s="22">
        <f>BM11/E11</f>
        <v>1.25</v>
      </c>
      <c r="BN12" s="22">
        <f>BN11/E11</f>
        <v>0.25</v>
      </c>
      <c r="BO12" s="22">
        <f>BO11/E11</f>
        <v>0</v>
      </c>
      <c r="BP12" s="22"/>
      <c r="BQ12" s="22">
        <f>BQ11/E11</f>
        <v>1.1666666666666667</v>
      </c>
      <c r="BR12" s="22">
        <f>BR11/E11</f>
        <v>0</v>
      </c>
      <c r="BS12" s="22">
        <f>BS11/E11</f>
        <v>0</v>
      </c>
      <c r="BT12" s="22">
        <f>BT11/E11</f>
        <v>0</v>
      </c>
      <c r="BU12" s="22">
        <f>BU11/E11</f>
        <v>0</v>
      </c>
      <c r="BV12" s="22">
        <f>BV11/E11</f>
        <v>0</v>
      </c>
      <c r="BW12" s="22"/>
      <c r="BX12" s="22">
        <f>BX11/E11</f>
        <v>0</v>
      </c>
      <c r="BY12" s="22">
        <f>BY11/E11</f>
        <v>0</v>
      </c>
      <c r="BZ12" s="22">
        <f>BZ11/E11</f>
        <v>0</v>
      </c>
      <c r="CA12" s="22">
        <f>CA11/E11</f>
        <v>0</v>
      </c>
      <c r="CB12" s="22">
        <f>CB11/E11</f>
        <v>0</v>
      </c>
      <c r="CC12" s="22">
        <f>CC11/E11</f>
        <v>0</v>
      </c>
      <c r="CD12" s="22"/>
      <c r="CE12" s="22">
        <f>CE11/E11</f>
        <v>0</v>
      </c>
      <c r="CF12" s="22">
        <f>CF11/E11</f>
        <v>0</v>
      </c>
      <c r="CG12" s="22">
        <f>CG11/E11</f>
        <v>0</v>
      </c>
      <c r="CH12" s="22">
        <f>CH11/E11</f>
        <v>0</v>
      </c>
      <c r="CI12" s="22">
        <f>CI11/E11</f>
        <v>0</v>
      </c>
      <c r="CJ12" s="22">
        <f>CJ11/E11</f>
        <v>0</v>
      </c>
      <c r="CK12" s="22"/>
      <c r="CL12" s="22">
        <f>CL11/E11</f>
        <v>0</v>
      </c>
      <c r="CM12" s="22">
        <f>CM11/E11</f>
        <v>0</v>
      </c>
      <c r="CN12" s="22">
        <f>CN11/E11</f>
        <v>0</v>
      </c>
      <c r="CO12" s="22">
        <f>CO11/E11</f>
        <v>0</v>
      </c>
      <c r="CP12" s="22">
        <f>CP11/E11</f>
        <v>0</v>
      </c>
      <c r="CQ12" s="22">
        <f>CQ11/E11</f>
        <v>0</v>
      </c>
      <c r="CR12" s="22"/>
      <c r="CS12" s="22" t="e">
        <f>CS11/L11</f>
        <v>#DIV/0!</v>
      </c>
      <c r="CT12" s="22" t="e">
        <f>CT11/L11</f>
        <v>#DIV/0!</v>
      </c>
      <c r="CU12" s="22" t="e">
        <f>CU11/L11</f>
        <v>#DIV/0!</v>
      </c>
      <c r="CV12" s="22" t="e">
        <f>CV11/L11</f>
        <v>#DIV/0!</v>
      </c>
      <c r="CW12" s="22" t="e">
        <f>CW11/L11</f>
        <v>#DIV/0!</v>
      </c>
      <c r="CX12" s="22" t="e">
        <f>CX11/L11</f>
        <v>#DIV/0!</v>
      </c>
      <c r="CY12" s="22"/>
      <c r="CZ12" s="22" t="e">
        <f>CZ11/S11</f>
        <v>#DIV/0!</v>
      </c>
      <c r="DA12" s="22" t="e">
        <f>DA11/S11</f>
        <v>#DIV/0!</v>
      </c>
      <c r="DB12" s="22" t="e">
        <f>DB11/S11</f>
        <v>#DIV/0!</v>
      </c>
      <c r="DC12" s="22" t="e">
        <f>DC11/S11</f>
        <v>#DIV/0!</v>
      </c>
      <c r="DD12" s="22" t="e">
        <f>DD11/S11</f>
        <v>#DIV/0!</v>
      </c>
      <c r="DE12" s="22" t="e">
        <f>DE11/S11</f>
        <v>#DIV/0!</v>
      </c>
      <c r="DF12" s="22"/>
      <c r="DG12" s="22" t="e">
        <f>DG11/Z11</f>
        <v>#DIV/0!</v>
      </c>
      <c r="DH12" s="22" t="e">
        <f>DH11/Z11</f>
        <v>#DIV/0!</v>
      </c>
      <c r="DI12" s="22" t="e">
        <f>DI11/Z11</f>
        <v>#DIV/0!</v>
      </c>
      <c r="DJ12" s="22" t="e">
        <f>DJ11/Z11</f>
        <v>#DIV/0!</v>
      </c>
      <c r="DK12" s="22" t="e">
        <f>DK11/Z11</f>
        <v>#DIV/0!</v>
      </c>
      <c r="DL12" s="22" t="e">
        <f>DL11/Z11</f>
        <v>#DIV/0!</v>
      </c>
      <c r="DM12" s="22"/>
      <c r="DN12" s="22" t="e">
        <f>DN11/AG11</f>
        <v>#DIV/0!</v>
      </c>
      <c r="DO12" s="22" t="e">
        <f>DO11/AG11</f>
        <v>#DIV/0!</v>
      </c>
      <c r="DP12" s="22" t="e">
        <f>DP11/AG11</f>
        <v>#DIV/0!</v>
      </c>
      <c r="DQ12" s="22" t="e">
        <f>DQ11/AG11</f>
        <v>#DIV/0!</v>
      </c>
      <c r="DR12" s="22" t="e">
        <f>DR11/AG11</f>
        <v>#DIV/0!</v>
      </c>
      <c r="DS12" s="22" t="e">
        <f>DS11/AG11</f>
        <v>#DIV/0!</v>
      </c>
      <c r="DT12" s="22"/>
      <c r="DU12" s="22" t="e">
        <f>DU11/AN11</f>
        <v>#DIV/0!</v>
      </c>
      <c r="DV12" s="22" t="e">
        <f>DV11/AN11</f>
        <v>#DIV/0!</v>
      </c>
      <c r="DW12" s="22" t="e">
        <f>DW11/AN11</f>
        <v>#DIV/0!</v>
      </c>
      <c r="DX12" s="22" t="e">
        <f>DX11/AN11</f>
        <v>#DIV/0!</v>
      </c>
      <c r="DY12" s="22" t="e">
        <f>DY11/AN11</f>
        <v>#DIV/0!</v>
      </c>
      <c r="DZ12" s="22" t="e">
        <f>DZ11/AN11</f>
        <v>#DIV/0!</v>
      </c>
      <c r="EA12" s="22"/>
      <c r="EB12" s="22" t="e">
        <f>EB11/AU11</f>
        <v>#DIV/0!</v>
      </c>
      <c r="EC12" s="22" t="e">
        <f>EC11/AU11</f>
        <v>#DIV/0!</v>
      </c>
      <c r="ED12" s="22" t="e">
        <f>ED11/AU11</f>
        <v>#DIV/0!</v>
      </c>
      <c r="EE12" s="22" t="e">
        <f>EE11/AU11</f>
        <v>#DIV/0!</v>
      </c>
      <c r="EF12" s="22" t="e">
        <f>EF11/AU11</f>
        <v>#DIV/0!</v>
      </c>
      <c r="EG12" s="22" t="e">
        <f>EG11/AU11</f>
        <v>#DIV/0!</v>
      </c>
      <c r="EH12" s="22"/>
      <c r="EI12" s="22" t="e">
        <f>EI11/BB11</f>
        <v>#DIV/0!</v>
      </c>
      <c r="EJ12" s="22" t="e">
        <f>EJ11/BB11</f>
        <v>#DIV/0!</v>
      </c>
      <c r="EK12" s="22" t="e">
        <f>EK11/BB11</f>
        <v>#DIV/0!</v>
      </c>
      <c r="EL12" s="22" t="e">
        <f>EL11/BB11</f>
        <v>#DIV/0!</v>
      </c>
      <c r="EM12" s="22" t="e">
        <f>EM11/BB11</f>
        <v>#DIV/0!</v>
      </c>
      <c r="EN12" s="22" t="e">
        <f>EN11/BB11</f>
        <v>#DIV/0!</v>
      </c>
      <c r="EO12" s="22"/>
      <c r="EP12" s="22" t="e">
        <f>EP11/BI11</f>
        <v>#DIV/0!</v>
      </c>
      <c r="EQ12" s="22" t="e">
        <f>EQ11/BI11</f>
        <v>#DIV/0!</v>
      </c>
      <c r="ER12" s="22" t="e">
        <f>ER11/BI11</f>
        <v>#DIV/0!</v>
      </c>
      <c r="ES12" s="22" t="e">
        <f>ES11/BI11</f>
        <v>#DIV/0!</v>
      </c>
      <c r="ET12" s="22" t="e">
        <f>ET11/BI11</f>
        <v>#DIV/0!</v>
      </c>
      <c r="EU12" s="22" t="e">
        <f>EU11/BI11</f>
        <v>#DIV/0!</v>
      </c>
      <c r="EV12" s="22"/>
      <c r="EW12" s="22" t="e">
        <f>EW11/BP11</f>
        <v>#DIV/0!</v>
      </c>
      <c r="EX12" s="22" t="e">
        <f>EX11/BP11</f>
        <v>#DIV/0!</v>
      </c>
      <c r="EY12" s="22" t="e">
        <f>EY11/BP11</f>
        <v>#DIV/0!</v>
      </c>
      <c r="EZ12" s="22" t="e">
        <f>EZ11/BP11</f>
        <v>#DIV/0!</v>
      </c>
      <c r="FA12" s="22" t="e">
        <f>FA11/BP11</f>
        <v>#DIV/0!</v>
      </c>
      <c r="FB12" s="22" t="e">
        <f>FB11/BP11</f>
        <v>#DIV/0!</v>
      </c>
      <c r="FC12" s="22"/>
      <c r="FD12" s="22" t="e">
        <f>FD11/BW11</f>
        <v>#DIV/0!</v>
      </c>
      <c r="FE12" s="22" t="e">
        <f>FE11/BW11</f>
        <v>#DIV/0!</v>
      </c>
      <c r="FF12" s="22" t="e">
        <f>FF11/BW11</f>
        <v>#DIV/0!</v>
      </c>
      <c r="FG12" s="22" t="e">
        <f>FG11/BW11</f>
        <v>#DIV/0!</v>
      </c>
      <c r="FH12" s="22" t="e">
        <f>FH11/BW11</f>
        <v>#DIV/0!</v>
      </c>
      <c r="FI12" s="22" t="e">
        <f>FI11/BW11</f>
        <v>#DIV/0!</v>
      </c>
      <c r="FJ12" s="22"/>
      <c r="FK12" s="22" t="e">
        <f>FK11/CD11</f>
        <v>#DIV/0!</v>
      </c>
      <c r="FL12" s="22" t="e">
        <f>FL11/CD11</f>
        <v>#DIV/0!</v>
      </c>
      <c r="FM12" s="22" t="e">
        <f>FM11/CD11</f>
        <v>#DIV/0!</v>
      </c>
      <c r="FN12" s="22" t="e">
        <f>FN11/CD11</f>
        <v>#DIV/0!</v>
      </c>
      <c r="FO12" s="22" t="e">
        <f>FO11/CD11</f>
        <v>#DIV/0!</v>
      </c>
      <c r="FP12" s="22" t="e">
        <f>FP11/CD11</f>
        <v>#DIV/0!</v>
      </c>
      <c r="FQ12" s="22"/>
      <c r="FR12" s="22" t="e">
        <f>FR11/CK11</f>
        <v>#DIV/0!</v>
      </c>
      <c r="FS12" s="22" t="e">
        <f>FS11/CK11</f>
        <v>#DIV/0!</v>
      </c>
      <c r="FT12" s="22" t="e">
        <f>FT11/CK11</f>
        <v>#DIV/0!</v>
      </c>
      <c r="FU12" s="22" t="e">
        <f>FU11/CK11</f>
        <v>#DIV/0!</v>
      </c>
      <c r="FV12" s="22" t="e">
        <f>FV11/CK11</f>
        <v>#DIV/0!</v>
      </c>
      <c r="FW12" s="22" t="e">
        <f>FW11/CK11</f>
        <v>#DIV/0!</v>
      </c>
      <c r="FX12" s="22"/>
      <c r="FY12" s="22" t="e">
        <f>FY11/CR11</f>
        <v>#DIV/0!</v>
      </c>
      <c r="FZ12" s="22" t="e">
        <f>FZ11/CR11</f>
        <v>#DIV/0!</v>
      </c>
      <c r="GA12" s="22" t="e">
        <f>GA11/CR11</f>
        <v>#DIV/0!</v>
      </c>
      <c r="GB12" s="22" t="e">
        <f>GB11/CR11</f>
        <v>#DIV/0!</v>
      </c>
      <c r="GC12" s="22" t="e">
        <f>GC11/CR11</f>
        <v>#DIV/0!</v>
      </c>
      <c r="GD12" s="22" t="e">
        <f>GD11/CR11</f>
        <v>#DIV/0!</v>
      </c>
      <c r="GE12" s="22"/>
      <c r="GF12" s="22" t="e">
        <f>GF11/CY11</f>
        <v>#DIV/0!</v>
      </c>
      <c r="GG12" s="22" t="e">
        <f>GG11/CY11</f>
        <v>#DIV/0!</v>
      </c>
      <c r="GH12" s="22" t="e">
        <f>GH11/CY11</f>
        <v>#DIV/0!</v>
      </c>
      <c r="GI12" s="22" t="e">
        <f>GI11/CY11</f>
        <v>#DIV/0!</v>
      </c>
      <c r="GJ12" s="22" t="e">
        <f>GJ11/CY11</f>
        <v>#DIV/0!</v>
      </c>
      <c r="GK12" s="22" t="e">
        <f>GK11/CY11</f>
        <v>#DIV/0!</v>
      </c>
      <c r="GL12" s="22"/>
      <c r="GM12" s="22" t="e">
        <f>GM11/DF11</f>
        <v>#DIV/0!</v>
      </c>
      <c r="GN12" s="22" t="e">
        <f>GN11/DF11</f>
        <v>#DIV/0!</v>
      </c>
      <c r="GO12" s="22" t="e">
        <f>GO11/DF11</f>
        <v>#DIV/0!</v>
      </c>
      <c r="GP12" s="22" t="e">
        <f>GP11/DF11</f>
        <v>#DIV/0!</v>
      </c>
      <c r="GQ12" s="22" t="e">
        <f>GQ11/DF11</f>
        <v>#DIV/0!</v>
      </c>
      <c r="GR12" s="22" t="e">
        <f>GR11/DF11</f>
        <v>#DIV/0!</v>
      </c>
      <c r="GS12" s="22"/>
      <c r="GT12" s="22" t="e">
        <f>GT11/DM11</f>
        <v>#DIV/0!</v>
      </c>
      <c r="GU12" s="22" t="e">
        <f>GU11/DM11</f>
        <v>#DIV/0!</v>
      </c>
      <c r="GV12" s="22" t="e">
        <f>GV11/DM11</f>
        <v>#DIV/0!</v>
      </c>
      <c r="GW12" s="22" t="e">
        <f>GW11/DM11</f>
        <v>#DIV/0!</v>
      </c>
      <c r="GX12" s="22" t="e">
        <f>GX11/DM11</f>
        <v>#DIV/0!</v>
      </c>
      <c r="GY12" s="22" t="e">
        <f>GY11/DM11</f>
        <v>#DIV/0!</v>
      </c>
      <c r="GZ12" s="22"/>
      <c r="HA12" s="22" t="e">
        <f>HA11/DT11</f>
        <v>#DIV/0!</v>
      </c>
      <c r="HB12" s="22" t="e">
        <f>HB11/DT11</f>
        <v>#DIV/0!</v>
      </c>
      <c r="HC12" s="22" t="e">
        <f>HC11/DT11</f>
        <v>#DIV/0!</v>
      </c>
      <c r="HD12" s="22" t="e">
        <f>HD11/DT11</f>
        <v>#DIV/0!</v>
      </c>
      <c r="HE12" s="22" t="e">
        <f>HE11/DT11</f>
        <v>#DIV/0!</v>
      </c>
      <c r="HF12" s="22" t="e">
        <f>HF11/DT11</f>
        <v>#DIV/0!</v>
      </c>
      <c r="HG12" s="22"/>
    </row>
    <row r="13" spans="1:216" s="39" customFormat="1" ht="90.75" thickBot="1" x14ac:dyDescent="0.3">
      <c r="A13" s="85" t="s">
        <v>47</v>
      </c>
      <c r="B13" s="86"/>
      <c r="C13" s="86"/>
      <c r="D13" s="86"/>
      <c r="E13" s="86"/>
      <c r="F13" s="37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 t="s">
        <v>48</v>
      </c>
      <c r="U13" s="36" t="s">
        <v>48</v>
      </c>
      <c r="V13" s="36" t="s">
        <v>48</v>
      </c>
      <c r="W13" s="36" t="s">
        <v>48</v>
      </c>
      <c r="X13" s="36" t="s">
        <v>48</v>
      </c>
      <c r="Y13" s="36" t="s">
        <v>48</v>
      </c>
      <c r="Z13" s="36"/>
      <c r="AA13" s="36" t="s">
        <v>48</v>
      </c>
      <c r="AB13" s="36" t="s">
        <v>48</v>
      </c>
      <c r="AC13" s="36" t="s">
        <v>48</v>
      </c>
      <c r="AD13" s="36" t="s">
        <v>49</v>
      </c>
      <c r="AE13" s="36" t="s">
        <v>49</v>
      </c>
      <c r="AF13" s="36"/>
      <c r="AG13" s="36"/>
      <c r="AH13" s="36" t="s">
        <v>48</v>
      </c>
      <c r="AI13" s="36" t="s">
        <v>48</v>
      </c>
      <c r="AJ13" s="36"/>
      <c r="AK13" s="36"/>
      <c r="AL13" s="36" t="s">
        <v>48</v>
      </c>
      <c r="AM13" s="36" t="s">
        <v>48</v>
      </c>
      <c r="AN13" s="36"/>
      <c r="AO13" s="36" t="s">
        <v>70</v>
      </c>
      <c r="AP13" s="36" t="s">
        <v>48</v>
      </c>
      <c r="AQ13" s="38"/>
      <c r="AR13" s="38"/>
      <c r="AS13" s="38"/>
      <c r="AT13" s="38"/>
      <c r="AU13" s="38"/>
      <c r="AV13" s="36" t="s">
        <v>71</v>
      </c>
      <c r="AW13" s="36"/>
      <c r="AX13" s="36"/>
      <c r="AY13" s="36"/>
      <c r="AZ13" s="36"/>
      <c r="BA13" s="36"/>
      <c r="BB13" s="36"/>
      <c r="BC13" s="36"/>
      <c r="BD13" s="36" t="s">
        <v>71</v>
      </c>
      <c r="BE13" s="36"/>
      <c r="BF13" s="36"/>
      <c r="BG13" s="36"/>
      <c r="BH13" s="36"/>
      <c r="BI13" s="36"/>
      <c r="BJ13" s="36"/>
      <c r="BK13" s="36"/>
      <c r="BL13" s="36"/>
      <c r="BM13" s="36" t="s">
        <v>71</v>
      </c>
      <c r="BN13" s="36" t="s">
        <v>71</v>
      </c>
      <c r="BO13" s="36"/>
      <c r="BP13" s="36"/>
      <c r="BQ13" s="36" t="s">
        <v>71</v>
      </c>
      <c r="BR13" s="36"/>
      <c r="BS13" s="36"/>
      <c r="BT13" s="36"/>
      <c r="BU13" s="36"/>
      <c r="BV13" s="36"/>
      <c r="BW13" s="36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</row>
  </sheetData>
  <mergeCells count="45">
    <mergeCell ref="GT4:GZ4"/>
    <mergeCell ref="HA4:HG4"/>
    <mergeCell ref="FK4:FQ4"/>
    <mergeCell ref="FR4:FX4"/>
    <mergeCell ref="FY4:GE4"/>
    <mergeCell ref="GF4:GL4"/>
    <mergeCell ref="GM4:GS4"/>
    <mergeCell ref="EB4:EH4"/>
    <mergeCell ref="EI4:EO4"/>
    <mergeCell ref="EP4:EV4"/>
    <mergeCell ref="EW4:FC4"/>
    <mergeCell ref="FD4:FJ4"/>
    <mergeCell ref="CS4:CY4"/>
    <mergeCell ref="CZ4:DF4"/>
    <mergeCell ref="DG4:DM4"/>
    <mergeCell ref="DN4:DT4"/>
    <mergeCell ref="DU4:EA4"/>
    <mergeCell ref="A13:E13"/>
    <mergeCell ref="A11:B11"/>
    <mergeCell ref="E1:E4"/>
    <mergeCell ref="F1:AI1"/>
    <mergeCell ref="B1:B4"/>
    <mergeCell ref="C1:C4"/>
    <mergeCell ref="D1:D4"/>
    <mergeCell ref="M2:S2"/>
    <mergeCell ref="T2:Z2"/>
    <mergeCell ref="AA2:AG2"/>
    <mergeCell ref="AH2:AN2"/>
    <mergeCell ref="A12:C12"/>
    <mergeCell ref="F2:L2"/>
    <mergeCell ref="F4:L4"/>
    <mergeCell ref="M4:S4"/>
    <mergeCell ref="T4:Z4"/>
    <mergeCell ref="AA4:AG4"/>
    <mergeCell ref="BX4:CD4"/>
    <mergeCell ref="CE4:CK4"/>
    <mergeCell ref="CL4:CR4"/>
    <mergeCell ref="A5:A10"/>
    <mergeCell ref="B10:C10"/>
    <mergeCell ref="AV4:BB4"/>
    <mergeCell ref="BC4:BI4"/>
    <mergeCell ref="BJ4:BP4"/>
    <mergeCell ref="BQ4:BW4"/>
    <mergeCell ref="AO4:AU4"/>
    <mergeCell ref="AH4:AN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E238-14A4-4205-9575-8E4B87CF99FF}">
  <dimension ref="A1:FZ13"/>
  <sheetViews>
    <sheetView tabSelected="1" zoomScale="70" zoomScaleNormal="70" workbookViewId="0">
      <pane xSplit="7" topLeftCell="AY1" activePane="topRight" state="frozen"/>
      <selection pane="topRight" activeCell="AW5" sqref="AW5:BC5"/>
    </sheetView>
  </sheetViews>
  <sheetFormatPr baseColWidth="10" defaultRowHeight="15" x14ac:dyDescent="0.25"/>
  <cols>
    <col min="1" max="1" width="21.5703125" customWidth="1"/>
  </cols>
  <sheetData>
    <row r="1" spans="1:182" ht="15.75" thickBot="1" x14ac:dyDescent="0.3"/>
    <row r="2" spans="1:182" ht="15.75" thickBot="1" x14ac:dyDescent="0.3">
      <c r="A2" s="58" t="s">
        <v>9</v>
      </c>
      <c r="B2" s="58" t="s">
        <v>22</v>
      </c>
      <c r="C2" s="58" t="s">
        <v>27</v>
      </c>
      <c r="D2" s="58" t="s">
        <v>10</v>
      </c>
      <c r="E2" s="58" t="s">
        <v>11</v>
      </c>
      <c r="F2" s="58" t="s">
        <v>12</v>
      </c>
      <c r="G2" s="58" t="s">
        <v>13</v>
      </c>
    </row>
    <row r="3" spans="1:182" ht="15.75" thickBot="1" x14ac:dyDescent="0.3">
      <c r="A3" s="59"/>
      <c r="B3" s="59"/>
      <c r="C3" s="59"/>
      <c r="D3" s="59"/>
      <c r="E3" s="59"/>
      <c r="F3" s="59"/>
      <c r="G3" s="59"/>
      <c r="H3" s="84"/>
      <c r="I3" s="84"/>
      <c r="J3" s="84"/>
      <c r="K3" s="84"/>
      <c r="L3" s="84"/>
      <c r="M3" s="84"/>
    </row>
    <row r="4" spans="1:182" ht="15.75" thickBot="1" x14ac:dyDescent="0.3">
      <c r="A4" s="59"/>
      <c r="B4" s="59"/>
      <c r="C4" s="59"/>
      <c r="D4" s="59"/>
      <c r="E4" s="59"/>
      <c r="F4" s="59"/>
      <c r="G4" s="59"/>
      <c r="H4" s="1">
        <v>44964</v>
      </c>
      <c r="I4" s="1">
        <v>44965</v>
      </c>
      <c r="J4" s="1">
        <v>44966</v>
      </c>
      <c r="K4" s="1">
        <v>44967</v>
      </c>
      <c r="L4" s="1">
        <v>44968</v>
      </c>
      <c r="M4" s="41">
        <v>44969</v>
      </c>
      <c r="N4" s="42">
        <v>44970</v>
      </c>
      <c r="O4" s="43">
        <v>44971</v>
      </c>
      <c r="P4" s="43">
        <v>44972</v>
      </c>
      <c r="Q4" s="43">
        <v>44973</v>
      </c>
      <c r="R4" s="43">
        <v>44974</v>
      </c>
      <c r="S4" s="43">
        <v>44975</v>
      </c>
      <c r="T4" s="44">
        <v>44976</v>
      </c>
      <c r="U4" s="44">
        <v>44977</v>
      </c>
      <c r="V4" s="44">
        <v>44978</v>
      </c>
      <c r="W4" s="44">
        <v>44979</v>
      </c>
      <c r="X4" s="44">
        <v>44980</v>
      </c>
      <c r="Y4" s="44">
        <v>44981</v>
      </c>
      <c r="Z4" s="44">
        <v>44982</v>
      </c>
      <c r="AA4" s="44">
        <v>44983</v>
      </c>
      <c r="AB4" s="44">
        <v>44984</v>
      </c>
      <c r="AC4" s="44">
        <v>44985</v>
      </c>
      <c r="AD4" s="44">
        <v>44986</v>
      </c>
      <c r="AE4" s="44">
        <v>44987</v>
      </c>
      <c r="AF4" s="44">
        <v>44988</v>
      </c>
      <c r="AG4" s="44">
        <v>44989</v>
      </c>
      <c r="AH4" s="44">
        <v>44990</v>
      </c>
      <c r="AI4" s="44">
        <v>44991</v>
      </c>
      <c r="AJ4" s="44">
        <v>44992</v>
      </c>
      <c r="AK4" s="44">
        <v>44993</v>
      </c>
      <c r="AL4" s="44">
        <v>44994</v>
      </c>
      <c r="AM4" s="44">
        <v>44995</v>
      </c>
      <c r="AN4" s="44">
        <v>44996</v>
      </c>
      <c r="AO4" s="44">
        <v>44997</v>
      </c>
      <c r="AP4" s="44">
        <v>44998</v>
      </c>
      <c r="AQ4" s="44">
        <v>44999</v>
      </c>
      <c r="AR4" s="44">
        <v>45000</v>
      </c>
      <c r="AS4" s="44">
        <v>45001</v>
      </c>
      <c r="AT4" s="44">
        <v>45002</v>
      </c>
      <c r="AU4" s="44">
        <v>45003</v>
      </c>
      <c r="AV4" s="44">
        <v>45004</v>
      </c>
      <c r="AW4" s="44">
        <v>45005</v>
      </c>
      <c r="AX4" s="44">
        <v>45006</v>
      </c>
      <c r="AY4" s="44">
        <v>45007</v>
      </c>
      <c r="AZ4" s="44">
        <v>45008</v>
      </c>
      <c r="BA4" s="44">
        <v>45009</v>
      </c>
      <c r="BB4" s="44">
        <v>45010</v>
      </c>
      <c r="BC4" s="44">
        <v>45011</v>
      </c>
      <c r="BD4" s="44">
        <v>45012</v>
      </c>
      <c r="BE4" s="44">
        <v>45013</v>
      </c>
      <c r="BF4" s="44">
        <v>45014</v>
      </c>
      <c r="BG4" s="44">
        <v>45015</v>
      </c>
      <c r="BH4" s="44">
        <v>45016</v>
      </c>
      <c r="BI4" s="44">
        <v>45017</v>
      </c>
      <c r="BJ4" s="44">
        <v>45018</v>
      </c>
      <c r="BK4" s="44">
        <v>45019</v>
      </c>
      <c r="BL4" s="44">
        <v>45020</v>
      </c>
      <c r="BM4" s="44">
        <v>45021</v>
      </c>
      <c r="BN4" s="44">
        <v>45022</v>
      </c>
      <c r="BO4" s="44">
        <v>45023</v>
      </c>
      <c r="BP4" s="44">
        <v>45024</v>
      </c>
      <c r="BQ4" s="44">
        <v>45025</v>
      </c>
      <c r="BR4" s="44">
        <v>45026</v>
      </c>
      <c r="BS4" s="44">
        <v>45027</v>
      </c>
      <c r="BT4" s="44">
        <v>45028</v>
      </c>
      <c r="BU4" s="44">
        <v>45029</v>
      </c>
      <c r="BV4" s="44">
        <v>45030</v>
      </c>
      <c r="BW4" s="44">
        <v>45031</v>
      </c>
      <c r="BX4" s="44">
        <v>45032</v>
      </c>
      <c r="BY4" s="44">
        <v>45033</v>
      </c>
      <c r="BZ4" s="44">
        <v>45034</v>
      </c>
      <c r="CA4" s="44">
        <v>45035</v>
      </c>
      <c r="CB4" s="44">
        <v>45036</v>
      </c>
      <c r="CC4" s="44">
        <v>45037</v>
      </c>
      <c r="CD4" s="44">
        <v>45038</v>
      </c>
      <c r="CE4" s="44">
        <v>45039</v>
      </c>
      <c r="CF4" s="44">
        <v>45040</v>
      </c>
      <c r="CG4" s="44">
        <v>45041</v>
      </c>
      <c r="CH4" s="44">
        <v>45042</v>
      </c>
      <c r="CI4" s="44">
        <v>45043</v>
      </c>
      <c r="CJ4" s="44">
        <v>45044</v>
      </c>
      <c r="CK4" s="44">
        <v>45045</v>
      </c>
      <c r="CL4" s="44">
        <v>45046</v>
      </c>
      <c r="CM4" s="44">
        <v>45047</v>
      </c>
      <c r="CN4" s="44">
        <v>45048</v>
      </c>
      <c r="CO4" s="44">
        <v>45049</v>
      </c>
      <c r="CP4" s="44">
        <v>45050</v>
      </c>
      <c r="CQ4" s="44">
        <v>45051</v>
      </c>
      <c r="CR4" s="44">
        <v>45052</v>
      </c>
      <c r="CS4" s="44">
        <v>45053</v>
      </c>
      <c r="CT4" s="44">
        <v>45054</v>
      </c>
      <c r="CU4" s="44">
        <v>45055</v>
      </c>
      <c r="CV4" s="44">
        <v>45056</v>
      </c>
      <c r="CW4" s="44">
        <v>45057</v>
      </c>
      <c r="CX4" s="44">
        <v>45058</v>
      </c>
      <c r="CY4" s="44">
        <v>45059</v>
      </c>
      <c r="CZ4" s="44">
        <v>45060</v>
      </c>
      <c r="DA4" s="44">
        <v>45061</v>
      </c>
      <c r="DB4" s="44">
        <v>45062</v>
      </c>
      <c r="DC4" s="44">
        <v>45063</v>
      </c>
      <c r="DD4" s="44">
        <v>45064</v>
      </c>
      <c r="DE4" s="44">
        <v>45065</v>
      </c>
      <c r="DF4" s="44">
        <v>45066</v>
      </c>
      <c r="DG4" s="44">
        <v>45067</v>
      </c>
      <c r="DH4" s="44">
        <v>45068</v>
      </c>
      <c r="DI4" s="44">
        <v>45069</v>
      </c>
      <c r="DJ4" s="44">
        <v>45070</v>
      </c>
      <c r="DK4" s="44">
        <v>45071</v>
      </c>
      <c r="DL4" s="44">
        <v>45072</v>
      </c>
      <c r="DM4" s="44">
        <v>45073</v>
      </c>
      <c r="DN4" s="44">
        <v>45074</v>
      </c>
      <c r="DO4" s="44">
        <v>45075</v>
      </c>
      <c r="DP4" s="44">
        <v>45076</v>
      </c>
      <c r="DQ4" s="44">
        <v>45077</v>
      </c>
      <c r="DR4" s="44">
        <v>45078</v>
      </c>
      <c r="DS4" s="44">
        <v>45079</v>
      </c>
      <c r="DT4" s="44">
        <v>45080</v>
      </c>
      <c r="DU4" s="44">
        <v>45081</v>
      </c>
      <c r="DV4" s="44">
        <v>45082</v>
      </c>
      <c r="DW4" s="44">
        <v>45083</v>
      </c>
      <c r="DX4" s="44">
        <v>45084</v>
      </c>
      <c r="DY4" s="44">
        <v>45085</v>
      </c>
      <c r="DZ4" s="44">
        <v>45086</v>
      </c>
      <c r="EA4" s="44">
        <v>45087</v>
      </c>
      <c r="EB4" s="44">
        <v>45088</v>
      </c>
      <c r="EC4" s="44">
        <v>45089</v>
      </c>
      <c r="ED4" s="44">
        <v>45090</v>
      </c>
      <c r="EE4" s="44">
        <v>45091</v>
      </c>
      <c r="EF4" s="44">
        <v>45092</v>
      </c>
      <c r="EG4" s="44">
        <v>45093</v>
      </c>
      <c r="EH4" s="44">
        <v>45094</v>
      </c>
      <c r="EI4" s="44">
        <v>45095</v>
      </c>
      <c r="EJ4" s="44">
        <v>45096</v>
      </c>
      <c r="EK4" s="44">
        <v>45097</v>
      </c>
      <c r="EL4" s="44">
        <v>45098</v>
      </c>
      <c r="EM4" s="44">
        <v>45099</v>
      </c>
      <c r="EN4" s="44">
        <v>45100</v>
      </c>
      <c r="EO4" s="44">
        <v>45101</v>
      </c>
      <c r="EP4" s="44">
        <v>45102</v>
      </c>
      <c r="EQ4" s="44">
        <v>45103</v>
      </c>
      <c r="ER4" s="44">
        <v>45104</v>
      </c>
      <c r="ES4" s="44">
        <v>45105</v>
      </c>
      <c r="ET4" s="44">
        <v>45106</v>
      </c>
      <c r="EU4" s="44">
        <v>45107</v>
      </c>
      <c r="EV4" s="44">
        <v>45108</v>
      </c>
      <c r="EW4" s="44">
        <v>45109</v>
      </c>
      <c r="EX4" s="44">
        <v>45110</v>
      </c>
      <c r="EY4" s="44">
        <v>45111</v>
      </c>
      <c r="EZ4" s="44">
        <v>45112</v>
      </c>
      <c r="FA4" s="44">
        <v>45113</v>
      </c>
      <c r="FB4" s="44">
        <v>45114</v>
      </c>
      <c r="FC4" s="44">
        <v>45115</v>
      </c>
      <c r="FD4" s="44">
        <v>45116</v>
      </c>
      <c r="FE4" s="44">
        <v>45117</v>
      </c>
      <c r="FF4" s="44">
        <v>45118</v>
      </c>
      <c r="FG4" s="44">
        <v>45119</v>
      </c>
      <c r="FH4" s="44">
        <v>45120</v>
      </c>
      <c r="FI4" s="44">
        <v>45121</v>
      </c>
      <c r="FJ4" s="44">
        <v>45122</v>
      </c>
      <c r="FK4" s="44">
        <v>45123</v>
      </c>
      <c r="FL4" s="44">
        <v>45124</v>
      </c>
      <c r="FM4" s="44">
        <v>45125</v>
      </c>
      <c r="FN4" s="44">
        <v>45126</v>
      </c>
      <c r="FO4" s="44">
        <v>45127</v>
      </c>
      <c r="FP4" s="44">
        <v>45128</v>
      </c>
      <c r="FQ4" s="44">
        <v>45129</v>
      </c>
      <c r="FR4" s="44">
        <v>45130</v>
      </c>
      <c r="FS4" s="44">
        <v>45131</v>
      </c>
      <c r="FT4" s="44">
        <v>45132</v>
      </c>
      <c r="FU4" s="44">
        <v>45133</v>
      </c>
      <c r="FV4" s="44">
        <v>45134</v>
      </c>
      <c r="FW4" s="44">
        <v>45135</v>
      </c>
      <c r="FX4" s="44">
        <v>45136</v>
      </c>
      <c r="FY4" s="44">
        <v>45137</v>
      </c>
      <c r="FZ4" s="44">
        <v>45138</v>
      </c>
    </row>
    <row r="5" spans="1:182" ht="15.75" thickBot="1" x14ac:dyDescent="0.3">
      <c r="A5" s="60"/>
      <c r="B5" s="60"/>
      <c r="C5" s="60"/>
      <c r="D5" s="60"/>
      <c r="E5" s="60"/>
      <c r="F5" s="60"/>
      <c r="G5" s="60"/>
      <c r="H5" s="53" t="s">
        <v>50</v>
      </c>
      <c r="I5" s="53"/>
      <c r="J5" s="53"/>
      <c r="K5" s="53"/>
      <c r="L5" s="53"/>
      <c r="M5" s="54"/>
      <c r="N5" s="77" t="s">
        <v>51</v>
      </c>
      <c r="O5" s="78"/>
      <c r="P5" s="78"/>
      <c r="Q5" s="78"/>
      <c r="R5" s="78"/>
      <c r="S5" s="78"/>
      <c r="T5" s="79"/>
      <c r="U5" s="77" t="s">
        <v>52</v>
      </c>
      <c r="V5" s="78"/>
      <c r="W5" s="78"/>
      <c r="X5" s="78"/>
      <c r="Y5" s="78"/>
      <c r="Z5" s="78"/>
      <c r="AA5" s="79"/>
      <c r="AB5" s="77" t="s">
        <v>53</v>
      </c>
      <c r="AC5" s="78"/>
      <c r="AD5" s="78"/>
      <c r="AE5" s="78"/>
      <c r="AF5" s="78"/>
      <c r="AG5" s="78"/>
      <c r="AH5" s="79"/>
      <c r="AI5" s="77" t="s">
        <v>54</v>
      </c>
      <c r="AJ5" s="78"/>
      <c r="AK5" s="78"/>
      <c r="AL5" s="78"/>
      <c r="AM5" s="78"/>
      <c r="AN5" s="78"/>
      <c r="AO5" s="79"/>
      <c r="AP5" s="77" t="s">
        <v>55</v>
      </c>
      <c r="AQ5" s="78"/>
      <c r="AR5" s="78"/>
      <c r="AS5" s="78"/>
      <c r="AT5" s="78"/>
      <c r="AU5" s="78"/>
      <c r="AV5" s="79"/>
      <c r="AW5" s="77" t="s">
        <v>56</v>
      </c>
      <c r="AX5" s="78"/>
      <c r="AY5" s="78"/>
      <c r="AZ5" s="78"/>
      <c r="BA5" s="78"/>
      <c r="BB5" s="78"/>
      <c r="BC5" s="79"/>
      <c r="BD5" s="77" t="s">
        <v>57</v>
      </c>
      <c r="BE5" s="78"/>
      <c r="BF5" s="78"/>
      <c r="BG5" s="78"/>
      <c r="BH5" s="78"/>
      <c r="BI5" s="78"/>
      <c r="BJ5" s="79"/>
      <c r="BK5" s="77" t="s">
        <v>72</v>
      </c>
      <c r="BL5" s="78"/>
      <c r="BM5" s="78"/>
      <c r="BN5" s="78"/>
      <c r="BO5" s="78"/>
      <c r="BP5" s="78"/>
      <c r="BQ5" s="79"/>
      <c r="BR5" s="77" t="s">
        <v>73</v>
      </c>
      <c r="BS5" s="78"/>
      <c r="BT5" s="78"/>
      <c r="BU5" s="78"/>
      <c r="BV5" s="78"/>
      <c r="BW5" s="78"/>
      <c r="BX5" s="79"/>
      <c r="BY5" s="77" t="s">
        <v>74</v>
      </c>
      <c r="BZ5" s="78"/>
      <c r="CA5" s="78"/>
      <c r="CB5" s="78"/>
      <c r="CC5" s="78"/>
      <c r="CD5" s="78"/>
      <c r="CE5" s="79"/>
      <c r="CF5" s="77" t="s">
        <v>75</v>
      </c>
      <c r="CG5" s="78"/>
      <c r="CH5" s="78"/>
      <c r="CI5" s="78"/>
      <c r="CJ5" s="78"/>
      <c r="CK5" s="78"/>
      <c r="CL5" s="79"/>
      <c r="CM5" s="77" t="s">
        <v>76</v>
      </c>
      <c r="CN5" s="78"/>
      <c r="CO5" s="78"/>
      <c r="CP5" s="78"/>
      <c r="CQ5" s="78"/>
      <c r="CR5" s="78"/>
      <c r="CS5" s="79"/>
      <c r="CT5" s="77" t="s">
        <v>77</v>
      </c>
      <c r="CU5" s="78"/>
      <c r="CV5" s="78"/>
      <c r="CW5" s="78"/>
      <c r="CX5" s="78"/>
      <c r="CY5" s="78"/>
      <c r="CZ5" s="79"/>
      <c r="DA5" s="77" t="s">
        <v>78</v>
      </c>
      <c r="DB5" s="78"/>
      <c r="DC5" s="78"/>
      <c r="DD5" s="78"/>
      <c r="DE5" s="78"/>
      <c r="DF5" s="78"/>
      <c r="DG5" s="79"/>
      <c r="DH5" s="77" t="s">
        <v>79</v>
      </c>
      <c r="DI5" s="78"/>
      <c r="DJ5" s="78"/>
      <c r="DK5" s="78"/>
      <c r="DL5" s="78"/>
      <c r="DM5" s="78"/>
      <c r="DN5" s="79"/>
      <c r="DO5" s="77" t="s">
        <v>80</v>
      </c>
      <c r="DP5" s="78"/>
      <c r="DQ5" s="78"/>
      <c r="DR5" s="78"/>
      <c r="DS5" s="78"/>
      <c r="DT5" s="78"/>
      <c r="DU5" s="79"/>
      <c r="DV5" s="77" t="s">
        <v>81</v>
      </c>
      <c r="DW5" s="78"/>
      <c r="DX5" s="78"/>
      <c r="DY5" s="78"/>
      <c r="DZ5" s="78"/>
      <c r="EA5" s="78"/>
      <c r="EB5" s="79"/>
      <c r="EC5" s="77" t="s">
        <v>82</v>
      </c>
      <c r="ED5" s="78"/>
      <c r="EE5" s="78"/>
      <c r="EF5" s="78"/>
      <c r="EG5" s="78"/>
      <c r="EH5" s="78"/>
      <c r="EI5" s="79"/>
      <c r="EJ5" s="77" t="s">
        <v>83</v>
      </c>
      <c r="EK5" s="78"/>
      <c r="EL5" s="78"/>
      <c r="EM5" s="78"/>
      <c r="EN5" s="78"/>
      <c r="EO5" s="78"/>
      <c r="EP5" s="79"/>
      <c r="EQ5" s="77" t="s">
        <v>84</v>
      </c>
      <c r="ER5" s="78"/>
      <c r="ES5" s="78"/>
      <c r="ET5" s="78"/>
      <c r="EU5" s="78"/>
      <c r="EV5" s="78"/>
      <c r="EW5" s="79"/>
      <c r="EX5" s="77" t="s">
        <v>85</v>
      </c>
      <c r="EY5" s="78"/>
      <c r="EZ5" s="78"/>
      <c r="FA5" s="78"/>
      <c r="FB5" s="78"/>
      <c r="FC5" s="78"/>
      <c r="FD5" s="79"/>
      <c r="FE5" s="77" t="s">
        <v>86</v>
      </c>
      <c r="FF5" s="78"/>
      <c r="FG5" s="78"/>
      <c r="FH5" s="78"/>
      <c r="FI5" s="78"/>
      <c r="FJ5" s="78"/>
      <c r="FK5" s="79"/>
      <c r="FL5" s="77" t="s">
        <v>87</v>
      </c>
      <c r="FM5" s="78"/>
      <c r="FN5" s="78"/>
      <c r="FO5" s="78"/>
      <c r="FP5" s="78"/>
      <c r="FQ5" s="78"/>
      <c r="FR5" s="79"/>
      <c r="FS5" s="77" t="s">
        <v>88</v>
      </c>
      <c r="FT5" s="78"/>
      <c r="FU5" s="78"/>
      <c r="FV5" s="78"/>
      <c r="FW5" s="78"/>
      <c r="FX5" s="78"/>
      <c r="FY5" s="79"/>
    </row>
    <row r="6" spans="1:182" ht="15.75" thickBot="1" x14ac:dyDescent="0.3">
      <c r="A6" s="2" t="s">
        <v>7</v>
      </c>
      <c r="B6" s="24"/>
      <c r="C6" s="21" t="s">
        <v>26</v>
      </c>
      <c r="D6" s="17"/>
      <c r="E6" s="18">
        <f t="shared" ref="E6:E10" si="0">SUM(H6:BH6)</f>
        <v>14</v>
      </c>
      <c r="F6" s="45"/>
      <c r="G6" s="18">
        <v>1</v>
      </c>
      <c r="H6" s="40"/>
      <c r="I6" s="11"/>
      <c r="J6" s="11"/>
      <c r="K6" s="11"/>
      <c r="L6" s="11"/>
      <c r="M6" s="8"/>
      <c r="N6" s="11"/>
      <c r="O6" s="11">
        <v>1</v>
      </c>
      <c r="P6" s="11">
        <v>3</v>
      </c>
      <c r="Q6" s="11"/>
      <c r="R6" s="11">
        <v>1</v>
      </c>
      <c r="S6" s="11"/>
      <c r="T6" s="8"/>
      <c r="U6" s="11"/>
      <c r="V6" s="11">
        <v>3</v>
      </c>
      <c r="W6" s="11">
        <v>3</v>
      </c>
      <c r="X6" s="11"/>
      <c r="Y6" s="11"/>
      <c r="Z6" s="11"/>
      <c r="AA6" s="8"/>
      <c r="AB6" s="11"/>
      <c r="AC6" s="11"/>
      <c r="AD6" s="11"/>
      <c r="AE6" s="11">
        <v>2</v>
      </c>
      <c r="AF6" s="11"/>
      <c r="AG6" s="11"/>
      <c r="AH6" s="8"/>
      <c r="AI6" s="11">
        <v>1</v>
      </c>
      <c r="AJ6" s="11"/>
      <c r="AK6" s="11"/>
      <c r="AL6" s="11"/>
      <c r="AM6" s="11"/>
      <c r="AN6" s="11"/>
      <c r="AO6" s="8"/>
      <c r="AP6" s="11"/>
      <c r="AQ6" s="11"/>
      <c r="AR6" s="11"/>
      <c r="AS6" s="11"/>
      <c r="AT6" s="11"/>
      <c r="AU6" s="11"/>
      <c r="AV6" s="8"/>
      <c r="AW6" s="11"/>
      <c r="AX6" s="11"/>
      <c r="AY6" s="11"/>
      <c r="AZ6" s="11"/>
      <c r="BA6" s="11"/>
      <c r="BB6" s="11"/>
      <c r="BC6" s="8"/>
      <c r="BD6" s="11"/>
      <c r="BE6" s="11"/>
      <c r="BF6" s="11"/>
      <c r="BG6" s="11"/>
      <c r="BH6" s="11"/>
      <c r="BI6" s="11"/>
      <c r="BJ6" s="8"/>
      <c r="BK6" s="11"/>
      <c r="BL6" s="11"/>
      <c r="BM6" s="11"/>
      <c r="BN6" s="11"/>
      <c r="BO6" s="11"/>
      <c r="BP6" s="11"/>
      <c r="BQ6" s="8"/>
      <c r="BR6" s="11"/>
      <c r="BS6" s="11"/>
      <c r="BT6" s="11"/>
      <c r="BU6" s="11"/>
      <c r="BV6" s="11"/>
      <c r="BW6" s="11"/>
      <c r="BX6" s="8"/>
      <c r="BY6" s="11"/>
      <c r="BZ6" s="11"/>
      <c r="CA6" s="11"/>
      <c r="CB6" s="11"/>
      <c r="CC6" s="11"/>
      <c r="CD6" s="11"/>
      <c r="CE6" s="8"/>
      <c r="CF6" s="11"/>
      <c r="CG6" s="11"/>
      <c r="CH6" s="11"/>
      <c r="CI6" s="11"/>
      <c r="CJ6" s="11"/>
      <c r="CK6" s="11"/>
      <c r="CL6" s="8"/>
      <c r="CM6" s="11"/>
      <c r="CN6" s="11"/>
      <c r="CO6" s="11"/>
      <c r="CP6" s="11"/>
      <c r="CQ6" s="11"/>
      <c r="CR6" s="11"/>
      <c r="CS6" s="8"/>
      <c r="CT6" s="11"/>
      <c r="CU6" s="11"/>
      <c r="CV6" s="11"/>
      <c r="CW6" s="11"/>
      <c r="CX6" s="11"/>
      <c r="CY6" s="11"/>
      <c r="CZ6" s="8"/>
      <c r="DA6" s="11"/>
      <c r="DB6" s="11"/>
      <c r="DC6" s="11"/>
      <c r="DD6" s="11"/>
      <c r="DE6" s="11"/>
      <c r="DF6" s="11"/>
      <c r="DG6" s="8"/>
      <c r="DH6" s="11"/>
      <c r="DI6" s="11"/>
      <c r="DJ6" s="11"/>
      <c r="DK6" s="11"/>
      <c r="DL6" s="11"/>
      <c r="DM6" s="11"/>
      <c r="DN6" s="8"/>
      <c r="DO6" s="11"/>
      <c r="DP6" s="11"/>
      <c r="DQ6" s="11"/>
      <c r="DR6" s="11"/>
      <c r="DS6" s="11"/>
      <c r="DT6" s="11"/>
      <c r="DU6" s="8"/>
      <c r="DV6" s="11"/>
      <c r="DW6" s="11"/>
      <c r="DX6" s="11"/>
      <c r="DY6" s="11"/>
      <c r="DZ6" s="11"/>
      <c r="EA6" s="11"/>
      <c r="EB6" s="8"/>
      <c r="EC6" s="11"/>
      <c r="ED6" s="11"/>
      <c r="EE6" s="11"/>
      <c r="EF6" s="11"/>
      <c r="EG6" s="11"/>
      <c r="EH6" s="11"/>
      <c r="EI6" s="8"/>
      <c r="EJ6" s="11"/>
      <c r="EK6" s="11"/>
      <c r="EL6" s="11"/>
      <c r="EM6" s="11"/>
      <c r="EN6" s="11"/>
      <c r="EO6" s="11"/>
      <c r="EP6" s="8"/>
      <c r="EQ6" s="11"/>
      <c r="ER6" s="11"/>
      <c r="ES6" s="11"/>
      <c r="ET6" s="11"/>
      <c r="EU6" s="11"/>
      <c r="EV6" s="11"/>
      <c r="EW6" s="8"/>
      <c r="EX6" s="11"/>
      <c r="EY6" s="11"/>
      <c r="EZ6" s="11"/>
      <c r="FA6" s="11"/>
      <c r="FB6" s="11"/>
      <c r="FC6" s="11"/>
      <c r="FD6" s="8"/>
      <c r="FE6" s="11"/>
      <c r="FF6" s="11"/>
      <c r="FG6" s="11"/>
      <c r="FH6" s="11"/>
      <c r="FI6" s="11"/>
      <c r="FJ6" s="11"/>
      <c r="FK6" s="8"/>
      <c r="FL6" s="11"/>
      <c r="FM6" s="11"/>
      <c r="FN6" s="11"/>
      <c r="FO6" s="11"/>
      <c r="FP6" s="11"/>
      <c r="FQ6" s="11"/>
      <c r="FR6" s="8"/>
      <c r="FS6" s="11"/>
      <c r="FT6" s="11"/>
      <c r="FU6" s="11"/>
      <c r="FV6" s="11"/>
      <c r="FW6" s="11"/>
      <c r="FX6" s="11"/>
      <c r="FY6" s="8"/>
    </row>
    <row r="7" spans="1:182" ht="24" customHeight="1" thickBot="1" x14ac:dyDescent="0.3">
      <c r="A7" s="2" t="s">
        <v>4</v>
      </c>
      <c r="B7" s="21" t="s">
        <v>24</v>
      </c>
      <c r="C7" s="21" t="s">
        <v>26</v>
      </c>
      <c r="D7" s="3"/>
      <c r="E7" s="18">
        <f t="shared" si="0"/>
        <v>15</v>
      </c>
      <c r="F7" s="5"/>
      <c r="G7" s="4">
        <v>1</v>
      </c>
      <c r="H7" s="11"/>
      <c r="I7" s="11">
        <v>3</v>
      </c>
      <c r="J7" s="11">
        <v>2</v>
      </c>
      <c r="K7" s="11">
        <v>2</v>
      </c>
      <c r="L7" s="11"/>
      <c r="M7" s="8"/>
      <c r="N7" s="11">
        <v>1</v>
      </c>
      <c r="O7" s="11"/>
      <c r="P7" s="11"/>
      <c r="Q7" s="11">
        <v>2</v>
      </c>
      <c r="R7" s="11"/>
      <c r="S7" s="11"/>
      <c r="T7" s="8"/>
      <c r="U7" s="11"/>
      <c r="V7" s="11">
        <v>1</v>
      </c>
      <c r="W7" s="11">
        <v>1</v>
      </c>
      <c r="X7" s="11"/>
      <c r="Y7" s="11"/>
      <c r="Z7" s="11"/>
      <c r="AA7" s="8"/>
      <c r="AB7" s="11"/>
      <c r="AC7" s="11"/>
      <c r="AD7" s="11"/>
      <c r="AE7" s="11"/>
      <c r="AF7" s="11">
        <v>2</v>
      </c>
      <c r="AG7" s="11"/>
      <c r="AH7" s="8"/>
      <c r="AI7" s="11">
        <v>1</v>
      </c>
      <c r="AJ7" s="11"/>
      <c r="AK7" s="11"/>
      <c r="AL7" s="11"/>
      <c r="AM7" s="11"/>
      <c r="AN7" s="11"/>
      <c r="AO7" s="8"/>
      <c r="AP7" s="11"/>
      <c r="AQ7" s="11"/>
      <c r="AR7" s="11"/>
      <c r="AS7" s="11"/>
      <c r="AT7" s="11"/>
      <c r="AU7" s="11"/>
      <c r="AV7" s="8"/>
      <c r="AW7" s="11"/>
      <c r="AX7" s="11"/>
      <c r="AY7" s="11"/>
      <c r="AZ7" s="11"/>
      <c r="BA7" s="11"/>
      <c r="BB7" s="11"/>
      <c r="BC7" s="8"/>
      <c r="BD7" s="11"/>
      <c r="BE7" s="11"/>
      <c r="BF7" s="11"/>
      <c r="BG7" s="11"/>
      <c r="BH7" s="11"/>
      <c r="BI7" s="11"/>
      <c r="BJ7" s="8"/>
      <c r="BK7" s="11"/>
      <c r="BL7" s="11"/>
      <c r="BM7" s="11"/>
      <c r="BN7" s="11"/>
      <c r="BO7" s="11"/>
      <c r="BP7" s="11"/>
      <c r="BQ7" s="8"/>
      <c r="BR7" s="11"/>
      <c r="BS7" s="11"/>
      <c r="BT7" s="11"/>
      <c r="BU7" s="11"/>
      <c r="BV7" s="11"/>
      <c r="BW7" s="11"/>
      <c r="BX7" s="8"/>
      <c r="BY7" s="11"/>
      <c r="BZ7" s="11"/>
      <c r="CA7" s="11"/>
      <c r="CB7" s="11"/>
      <c r="CC7" s="11"/>
      <c r="CD7" s="11"/>
      <c r="CE7" s="8"/>
      <c r="CF7" s="11"/>
      <c r="CG7" s="11"/>
      <c r="CH7" s="11"/>
      <c r="CI7" s="11"/>
      <c r="CJ7" s="11"/>
      <c r="CK7" s="11"/>
      <c r="CL7" s="8"/>
      <c r="CM7" s="11"/>
      <c r="CN7" s="11"/>
      <c r="CO7" s="11"/>
      <c r="CP7" s="11"/>
      <c r="CQ7" s="11"/>
      <c r="CR7" s="11"/>
      <c r="CS7" s="8"/>
      <c r="CT7" s="11"/>
      <c r="CU7" s="11"/>
      <c r="CV7" s="11"/>
      <c r="CW7" s="11"/>
      <c r="CX7" s="11"/>
      <c r="CY7" s="11"/>
      <c r="CZ7" s="8"/>
      <c r="DA7" s="11"/>
      <c r="DB7" s="11"/>
      <c r="DC7" s="11"/>
      <c r="DD7" s="11"/>
      <c r="DE7" s="11"/>
      <c r="DF7" s="11"/>
      <c r="DG7" s="8"/>
      <c r="DH7" s="11"/>
      <c r="DI7" s="11"/>
      <c r="DJ7" s="11"/>
      <c r="DK7" s="11"/>
      <c r="DL7" s="11"/>
      <c r="DM7" s="11"/>
      <c r="DN7" s="8"/>
      <c r="DO7" s="11"/>
      <c r="DP7" s="11"/>
      <c r="DQ7" s="11"/>
      <c r="DR7" s="11"/>
      <c r="DS7" s="11"/>
      <c r="DT7" s="11"/>
      <c r="DU7" s="8"/>
      <c r="DV7" s="11"/>
      <c r="DW7" s="11"/>
      <c r="DX7" s="11"/>
      <c r="DY7" s="11"/>
      <c r="DZ7" s="11"/>
      <c r="EA7" s="11"/>
      <c r="EB7" s="8"/>
      <c r="EC7" s="11"/>
      <c r="ED7" s="11"/>
      <c r="EE7" s="11"/>
      <c r="EF7" s="11"/>
      <c r="EG7" s="11"/>
      <c r="EH7" s="11"/>
      <c r="EI7" s="8"/>
      <c r="EJ7" s="11"/>
      <c r="EK7" s="11"/>
      <c r="EL7" s="11"/>
      <c r="EM7" s="11"/>
      <c r="EN7" s="11"/>
      <c r="EO7" s="11"/>
      <c r="EP7" s="8"/>
      <c r="EQ7" s="11"/>
      <c r="ER7" s="11"/>
      <c r="ES7" s="11"/>
      <c r="ET7" s="11"/>
      <c r="EU7" s="11"/>
      <c r="EV7" s="11"/>
      <c r="EW7" s="8"/>
      <c r="EX7" s="11"/>
      <c r="EY7" s="11"/>
      <c r="EZ7" s="11"/>
      <c r="FA7" s="11"/>
      <c r="FB7" s="11"/>
      <c r="FC7" s="11"/>
      <c r="FD7" s="8"/>
      <c r="FE7" s="11"/>
      <c r="FF7" s="11"/>
      <c r="FG7" s="11"/>
      <c r="FH7" s="11"/>
      <c r="FI7" s="11"/>
      <c r="FJ7" s="11"/>
      <c r="FK7" s="8"/>
      <c r="FL7" s="11"/>
      <c r="FM7" s="11"/>
      <c r="FN7" s="11"/>
      <c r="FO7" s="11"/>
      <c r="FP7" s="11"/>
      <c r="FQ7" s="11"/>
      <c r="FR7" s="8"/>
      <c r="FS7" s="11"/>
      <c r="FT7" s="11"/>
      <c r="FU7" s="11"/>
      <c r="FV7" s="11"/>
      <c r="FW7" s="11"/>
      <c r="FX7" s="11"/>
      <c r="FY7" s="8"/>
    </row>
    <row r="8" spans="1:182" ht="15.75" thickBot="1" x14ac:dyDescent="0.3">
      <c r="A8" s="2" t="s">
        <v>5</v>
      </c>
      <c r="B8" s="21" t="s">
        <v>24</v>
      </c>
      <c r="C8" s="21" t="s">
        <v>26</v>
      </c>
      <c r="D8" s="3"/>
      <c r="E8" s="18">
        <f t="shared" si="0"/>
        <v>19</v>
      </c>
      <c r="F8" s="5"/>
      <c r="G8" s="4">
        <v>1</v>
      </c>
      <c r="H8" s="11"/>
      <c r="I8" s="11"/>
      <c r="J8" s="11"/>
      <c r="K8" s="11"/>
      <c r="L8" s="11"/>
      <c r="M8" s="8"/>
      <c r="N8" s="11"/>
      <c r="O8" s="11">
        <v>3</v>
      </c>
      <c r="P8" s="11"/>
      <c r="Q8" s="11">
        <v>1</v>
      </c>
      <c r="R8" s="11">
        <v>3</v>
      </c>
      <c r="S8" s="11"/>
      <c r="T8" s="8"/>
      <c r="U8" s="11">
        <v>3</v>
      </c>
      <c r="V8" s="11"/>
      <c r="W8" s="11">
        <v>2</v>
      </c>
      <c r="X8" s="11"/>
      <c r="Y8" s="11"/>
      <c r="Z8" s="11"/>
      <c r="AA8" s="8"/>
      <c r="AB8" s="11"/>
      <c r="AC8" s="11"/>
      <c r="AD8" s="11"/>
      <c r="AE8" s="11"/>
      <c r="AF8" s="11">
        <v>3</v>
      </c>
      <c r="AG8" s="11"/>
      <c r="AH8" s="8"/>
      <c r="AI8" s="11">
        <v>2</v>
      </c>
      <c r="AJ8" s="11">
        <v>2</v>
      </c>
      <c r="AK8" s="11"/>
      <c r="AL8" s="11"/>
      <c r="AM8" s="11"/>
      <c r="AN8" s="11"/>
      <c r="AO8" s="8"/>
      <c r="AP8" s="11"/>
      <c r="AQ8" s="11"/>
      <c r="AR8" s="11"/>
      <c r="AS8" s="11"/>
      <c r="AT8" s="11"/>
      <c r="AU8" s="11"/>
      <c r="AV8" s="8"/>
      <c r="AW8" s="11"/>
      <c r="AX8" s="11"/>
      <c r="AY8" s="11"/>
      <c r="AZ8" s="11"/>
      <c r="BA8" s="11"/>
      <c r="BB8" s="11"/>
      <c r="BC8" s="8"/>
      <c r="BD8" s="11"/>
      <c r="BE8" s="11"/>
      <c r="BF8" s="11"/>
      <c r="BG8" s="11"/>
      <c r="BH8" s="11"/>
      <c r="BI8" s="11"/>
      <c r="BJ8" s="8"/>
      <c r="BK8" s="11"/>
      <c r="BL8" s="11"/>
      <c r="BM8" s="11"/>
      <c r="BN8" s="11"/>
      <c r="BO8" s="11"/>
      <c r="BP8" s="11"/>
      <c r="BQ8" s="8"/>
      <c r="BR8" s="11"/>
      <c r="BS8" s="11"/>
      <c r="BT8" s="11"/>
      <c r="BU8" s="11"/>
      <c r="BV8" s="11"/>
      <c r="BW8" s="11"/>
      <c r="BX8" s="8"/>
      <c r="BY8" s="11"/>
      <c r="BZ8" s="11"/>
      <c r="CA8" s="11"/>
      <c r="CB8" s="11"/>
      <c r="CC8" s="11"/>
      <c r="CD8" s="11"/>
      <c r="CE8" s="8"/>
      <c r="CF8" s="11"/>
      <c r="CG8" s="11"/>
      <c r="CH8" s="11"/>
      <c r="CI8" s="11"/>
      <c r="CJ8" s="11"/>
      <c r="CK8" s="11"/>
      <c r="CL8" s="8"/>
      <c r="CM8" s="11"/>
      <c r="CN8" s="11"/>
      <c r="CO8" s="11"/>
      <c r="CP8" s="11"/>
      <c r="CQ8" s="11"/>
      <c r="CR8" s="11"/>
      <c r="CS8" s="8"/>
      <c r="CT8" s="11"/>
      <c r="CU8" s="11"/>
      <c r="CV8" s="11"/>
      <c r="CW8" s="11"/>
      <c r="CX8" s="11"/>
      <c r="CY8" s="11"/>
      <c r="CZ8" s="8"/>
      <c r="DA8" s="11"/>
      <c r="DB8" s="11"/>
      <c r="DC8" s="11"/>
      <c r="DD8" s="11"/>
      <c r="DE8" s="11"/>
      <c r="DF8" s="11"/>
      <c r="DG8" s="8"/>
      <c r="DH8" s="11"/>
      <c r="DI8" s="11"/>
      <c r="DJ8" s="11"/>
      <c r="DK8" s="11"/>
      <c r="DL8" s="11"/>
      <c r="DM8" s="11"/>
      <c r="DN8" s="8"/>
      <c r="DO8" s="11"/>
      <c r="DP8" s="11"/>
      <c r="DQ8" s="11"/>
      <c r="DR8" s="11"/>
      <c r="DS8" s="11"/>
      <c r="DT8" s="11"/>
      <c r="DU8" s="8"/>
      <c r="DV8" s="11"/>
      <c r="DW8" s="11"/>
      <c r="DX8" s="11"/>
      <c r="DY8" s="11"/>
      <c r="DZ8" s="11"/>
      <c r="EA8" s="11"/>
      <c r="EB8" s="8"/>
      <c r="EC8" s="11"/>
      <c r="ED8" s="11"/>
      <c r="EE8" s="11"/>
      <c r="EF8" s="11"/>
      <c r="EG8" s="11"/>
      <c r="EH8" s="11"/>
      <c r="EI8" s="8"/>
      <c r="EJ8" s="11"/>
      <c r="EK8" s="11"/>
      <c r="EL8" s="11"/>
      <c r="EM8" s="11"/>
      <c r="EN8" s="11"/>
      <c r="EO8" s="11"/>
      <c r="EP8" s="8"/>
      <c r="EQ8" s="11"/>
      <c r="ER8" s="11"/>
      <c r="ES8" s="11"/>
      <c r="ET8" s="11"/>
      <c r="EU8" s="11"/>
      <c r="EV8" s="11"/>
      <c r="EW8" s="8"/>
      <c r="EX8" s="11"/>
      <c r="EY8" s="11"/>
      <c r="EZ8" s="11"/>
      <c r="FA8" s="11"/>
      <c r="FB8" s="11"/>
      <c r="FC8" s="11"/>
      <c r="FD8" s="8"/>
      <c r="FE8" s="11"/>
      <c r="FF8" s="11"/>
      <c r="FG8" s="11"/>
      <c r="FH8" s="11"/>
      <c r="FI8" s="11"/>
      <c r="FJ8" s="11"/>
      <c r="FK8" s="8"/>
      <c r="FL8" s="11"/>
      <c r="FM8" s="11"/>
      <c r="FN8" s="11"/>
      <c r="FO8" s="11"/>
      <c r="FP8" s="11"/>
      <c r="FQ8" s="11"/>
      <c r="FR8" s="8"/>
      <c r="FS8" s="11"/>
      <c r="FT8" s="11"/>
      <c r="FU8" s="11"/>
      <c r="FV8" s="11"/>
      <c r="FW8" s="11"/>
      <c r="FX8" s="11"/>
      <c r="FY8" s="8"/>
    </row>
    <row r="9" spans="1:182" ht="15.75" thickBot="1" x14ac:dyDescent="0.3">
      <c r="A9" s="2" t="s">
        <v>6</v>
      </c>
      <c r="B9" s="21" t="s">
        <v>24</v>
      </c>
      <c r="C9" s="21" t="s">
        <v>26</v>
      </c>
      <c r="D9" s="3"/>
      <c r="E9" s="18">
        <f t="shared" si="0"/>
        <v>13</v>
      </c>
      <c r="F9" s="5"/>
      <c r="G9" s="4">
        <v>1</v>
      </c>
      <c r="H9" s="11"/>
      <c r="I9" s="11">
        <v>1</v>
      </c>
      <c r="J9" s="11">
        <v>1</v>
      </c>
      <c r="K9" s="11"/>
      <c r="L9" s="11"/>
      <c r="M9" s="8"/>
      <c r="N9" s="11">
        <v>2</v>
      </c>
      <c r="O9" s="11"/>
      <c r="P9" s="11">
        <v>1</v>
      </c>
      <c r="Q9" s="11"/>
      <c r="R9" s="11"/>
      <c r="S9" s="11"/>
      <c r="T9" s="8"/>
      <c r="U9" s="11"/>
      <c r="V9" s="11">
        <v>1</v>
      </c>
      <c r="W9" s="11">
        <v>1</v>
      </c>
      <c r="X9" s="11"/>
      <c r="Y9" s="11"/>
      <c r="Z9" s="11"/>
      <c r="AA9" s="8"/>
      <c r="AB9" s="11"/>
      <c r="AC9" s="11"/>
      <c r="AD9" s="11"/>
      <c r="AE9" s="11">
        <v>1</v>
      </c>
      <c r="AF9" s="11">
        <v>2</v>
      </c>
      <c r="AG9" s="11"/>
      <c r="AH9" s="8"/>
      <c r="AI9" s="11">
        <v>2</v>
      </c>
      <c r="AJ9" s="11">
        <v>1</v>
      </c>
      <c r="AK9" s="11"/>
      <c r="AL9" s="11"/>
      <c r="AM9" s="11"/>
      <c r="AN9" s="11"/>
      <c r="AO9" s="8"/>
      <c r="AP9" s="11"/>
      <c r="AQ9" s="11"/>
      <c r="AR9" s="11"/>
      <c r="AS9" s="11"/>
      <c r="AT9" s="11"/>
      <c r="AU9" s="11"/>
      <c r="AV9" s="8"/>
      <c r="AW9" s="11"/>
      <c r="AX9" s="11"/>
      <c r="AY9" s="11"/>
      <c r="AZ9" s="11"/>
      <c r="BA9" s="11"/>
      <c r="BB9" s="11"/>
      <c r="BC9" s="8"/>
      <c r="BD9" s="11"/>
      <c r="BE9" s="11"/>
      <c r="BF9" s="11"/>
      <c r="BG9" s="11"/>
      <c r="BH9" s="11"/>
      <c r="BI9" s="11"/>
      <c r="BJ9" s="8"/>
      <c r="BK9" s="11"/>
      <c r="BL9" s="11"/>
      <c r="BM9" s="11"/>
      <c r="BN9" s="11"/>
      <c r="BO9" s="11"/>
      <c r="BP9" s="11"/>
      <c r="BQ9" s="8"/>
      <c r="BR9" s="11"/>
      <c r="BS9" s="11"/>
      <c r="BT9" s="11"/>
      <c r="BU9" s="11"/>
      <c r="BV9" s="11"/>
      <c r="BW9" s="11"/>
      <c r="BX9" s="8"/>
      <c r="BY9" s="11"/>
      <c r="BZ9" s="11"/>
      <c r="CA9" s="11"/>
      <c r="CB9" s="11"/>
      <c r="CC9" s="11"/>
      <c r="CD9" s="11"/>
      <c r="CE9" s="8"/>
      <c r="CF9" s="11"/>
      <c r="CG9" s="11"/>
      <c r="CH9" s="11"/>
      <c r="CI9" s="11"/>
      <c r="CJ9" s="11"/>
      <c r="CK9" s="11"/>
      <c r="CL9" s="8"/>
      <c r="CM9" s="11"/>
      <c r="CN9" s="11"/>
      <c r="CO9" s="11"/>
      <c r="CP9" s="11"/>
      <c r="CQ9" s="11"/>
      <c r="CR9" s="11"/>
      <c r="CS9" s="8"/>
      <c r="CT9" s="11"/>
      <c r="CU9" s="11"/>
      <c r="CV9" s="11"/>
      <c r="CW9" s="11"/>
      <c r="CX9" s="11"/>
      <c r="CY9" s="11"/>
      <c r="CZ9" s="8"/>
      <c r="DA9" s="11"/>
      <c r="DB9" s="11"/>
      <c r="DC9" s="11"/>
      <c r="DD9" s="11"/>
      <c r="DE9" s="11"/>
      <c r="DF9" s="11"/>
      <c r="DG9" s="8"/>
      <c r="DH9" s="11"/>
      <c r="DI9" s="11"/>
      <c r="DJ9" s="11"/>
      <c r="DK9" s="11"/>
      <c r="DL9" s="11"/>
      <c r="DM9" s="11"/>
      <c r="DN9" s="8"/>
      <c r="DO9" s="11"/>
      <c r="DP9" s="11"/>
      <c r="DQ9" s="11"/>
      <c r="DR9" s="11"/>
      <c r="DS9" s="11"/>
      <c r="DT9" s="11"/>
      <c r="DU9" s="8"/>
      <c r="DV9" s="11"/>
      <c r="DW9" s="11"/>
      <c r="DX9" s="11"/>
      <c r="DY9" s="11"/>
      <c r="DZ9" s="11"/>
      <c r="EA9" s="11"/>
      <c r="EB9" s="8"/>
      <c r="EC9" s="11"/>
      <c r="ED9" s="11"/>
      <c r="EE9" s="11"/>
      <c r="EF9" s="11"/>
      <c r="EG9" s="11"/>
      <c r="EH9" s="11"/>
      <c r="EI9" s="8"/>
      <c r="EJ9" s="11"/>
      <c r="EK9" s="11"/>
      <c r="EL9" s="11"/>
      <c r="EM9" s="11"/>
      <c r="EN9" s="11"/>
      <c r="EO9" s="11"/>
      <c r="EP9" s="8"/>
      <c r="EQ9" s="11"/>
      <c r="ER9" s="11"/>
      <c r="ES9" s="11"/>
      <c r="ET9" s="11"/>
      <c r="EU9" s="11"/>
      <c r="EV9" s="11"/>
      <c r="EW9" s="8"/>
      <c r="EX9" s="11"/>
      <c r="EY9" s="11"/>
      <c r="EZ9" s="11"/>
      <c r="FA9" s="11"/>
      <c r="FB9" s="11"/>
      <c r="FC9" s="11"/>
      <c r="FD9" s="8"/>
      <c r="FE9" s="11"/>
      <c r="FF9" s="11"/>
      <c r="FG9" s="11"/>
      <c r="FH9" s="11"/>
      <c r="FI9" s="11"/>
      <c r="FJ9" s="11"/>
      <c r="FK9" s="8"/>
      <c r="FL9" s="11"/>
      <c r="FM9" s="11"/>
      <c r="FN9" s="11"/>
      <c r="FO9" s="11"/>
      <c r="FP9" s="11"/>
      <c r="FQ9" s="11"/>
      <c r="FR9" s="8"/>
      <c r="FS9" s="11"/>
      <c r="FT9" s="11"/>
      <c r="FU9" s="11"/>
      <c r="FV9" s="11"/>
      <c r="FW9" s="11"/>
      <c r="FX9" s="11"/>
      <c r="FY9" s="8"/>
    </row>
    <row r="10" spans="1:182" ht="15.75" thickBot="1" x14ac:dyDescent="0.3">
      <c r="A10" s="2" t="s">
        <v>8</v>
      </c>
      <c r="B10" s="21" t="s">
        <v>24</v>
      </c>
      <c r="C10" s="2" t="s">
        <v>26</v>
      </c>
      <c r="D10" s="4"/>
      <c r="E10" s="18">
        <f t="shared" si="0"/>
        <v>13</v>
      </c>
      <c r="F10" s="29"/>
      <c r="G10" s="29">
        <v>1</v>
      </c>
      <c r="H10" s="11"/>
      <c r="I10" s="11">
        <v>1</v>
      </c>
      <c r="J10" s="11">
        <v>1</v>
      </c>
      <c r="K10" s="11"/>
      <c r="L10" s="11">
        <v>1</v>
      </c>
      <c r="M10" s="8"/>
      <c r="N10" s="11">
        <v>3</v>
      </c>
      <c r="O10" s="11">
        <v>1</v>
      </c>
      <c r="P10" s="11">
        <v>1</v>
      </c>
      <c r="Q10" s="11">
        <v>1</v>
      </c>
      <c r="R10" s="11">
        <v>1</v>
      </c>
      <c r="S10" s="11"/>
      <c r="T10" s="8"/>
      <c r="U10" s="11">
        <v>1</v>
      </c>
      <c r="V10" s="11"/>
      <c r="W10" s="11"/>
      <c r="X10" s="11"/>
      <c r="Y10" s="11"/>
      <c r="Z10" s="11"/>
      <c r="AA10" s="8"/>
      <c r="AB10" s="11"/>
      <c r="AC10" s="11"/>
      <c r="AD10" s="11"/>
      <c r="AE10" s="11">
        <v>2</v>
      </c>
      <c r="AF10" s="11"/>
      <c r="AG10" s="11"/>
      <c r="AH10" s="8"/>
      <c r="AI10" s="11"/>
      <c r="AJ10" s="11"/>
      <c r="AK10" s="11"/>
      <c r="AL10" s="11"/>
      <c r="AM10" s="11"/>
      <c r="AN10" s="11"/>
      <c r="AO10" s="8"/>
      <c r="AP10" s="11"/>
      <c r="AQ10" s="11"/>
      <c r="AR10" s="11"/>
      <c r="AS10" s="11"/>
      <c r="AT10" s="11"/>
      <c r="AU10" s="11"/>
      <c r="AV10" s="8"/>
      <c r="AW10" s="11"/>
      <c r="AX10" s="11"/>
      <c r="AY10" s="11"/>
      <c r="AZ10" s="11"/>
      <c r="BA10" s="11"/>
      <c r="BB10" s="11"/>
      <c r="BC10" s="8"/>
      <c r="BD10" s="11"/>
      <c r="BE10" s="11"/>
      <c r="BF10" s="11"/>
      <c r="BG10" s="11"/>
      <c r="BH10" s="11"/>
      <c r="BI10" s="11"/>
      <c r="BJ10" s="8"/>
      <c r="BK10" s="11"/>
      <c r="BL10" s="11"/>
      <c r="BM10" s="11"/>
      <c r="BN10" s="11"/>
      <c r="BO10" s="11"/>
      <c r="BP10" s="11"/>
      <c r="BQ10" s="8"/>
      <c r="BR10" s="11"/>
      <c r="BS10" s="11"/>
      <c r="BT10" s="11"/>
      <c r="BU10" s="11"/>
      <c r="BV10" s="11"/>
      <c r="BW10" s="11"/>
      <c r="BX10" s="8"/>
      <c r="BY10" s="11"/>
      <c r="BZ10" s="11"/>
      <c r="CA10" s="11"/>
      <c r="CB10" s="11"/>
      <c r="CC10" s="11"/>
      <c r="CD10" s="11"/>
      <c r="CE10" s="8"/>
      <c r="CF10" s="11"/>
      <c r="CG10" s="11"/>
      <c r="CH10" s="11"/>
      <c r="CI10" s="11"/>
      <c r="CJ10" s="11"/>
      <c r="CK10" s="11"/>
      <c r="CL10" s="8"/>
      <c r="CM10" s="11"/>
      <c r="CN10" s="11"/>
      <c r="CO10" s="11"/>
      <c r="CP10" s="11"/>
      <c r="CQ10" s="11"/>
      <c r="CR10" s="11"/>
      <c r="CS10" s="8"/>
      <c r="CT10" s="11"/>
      <c r="CU10" s="11"/>
      <c r="CV10" s="11"/>
      <c r="CW10" s="11"/>
      <c r="CX10" s="11"/>
      <c r="CY10" s="11"/>
      <c r="CZ10" s="8"/>
      <c r="DA10" s="11"/>
      <c r="DB10" s="11"/>
      <c r="DC10" s="11"/>
      <c r="DD10" s="11"/>
      <c r="DE10" s="11"/>
      <c r="DF10" s="11"/>
      <c r="DG10" s="8"/>
      <c r="DH10" s="11"/>
      <c r="DI10" s="11"/>
      <c r="DJ10" s="11"/>
      <c r="DK10" s="11"/>
      <c r="DL10" s="11"/>
      <c r="DM10" s="11"/>
      <c r="DN10" s="8"/>
      <c r="DO10" s="11"/>
      <c r="DP10" s="11"/>
      <c r="DQ10" s="11"/>
      <c r="DR10" s="11"/>
      <c r="DS10" s="11"/>
      <c r="DT10" s="11"/>
      <c r="DU10" s="8"/>
      <c r="DV10" s="11"/>
      <c r="DW10" s="11"/>
      <c r="DX10" s="11"/>
      <c r="DY10" s="11"/>
      <c r="DZ10" s="11"/>
      <c r="EA10" s="11"/>
      <c r="EB10" s="8"/>
      <c r="EC10" s="11"/>
      <c r="ED10" s="11"/>
      <c r="EE10" s="11"/>
      <c r="EF10" s="11"/>
      <c r="EG10" s="11"/>
      <c r="EH10" s="11"/>
      <c r="EI10" s="8"/>
      <c r="EJ10" s="11"/>
      <c r="EK10" s="11"/>
      <c r="EL10" s="11"/>
      <c r="EM10" s="11"/>
      <c r="EN10" s="11"/>
      <c r="EO10" s="11"/>
      <c r="EP10" s="8"/>
      <c r="EQ10" s="11"/>
      <c r="ER10" s="11"/>
      <c r="ES10" s="11"/>
      <c r="ET10" s="11"/>
      <c r="EU10" s="11"/>
      <c r="EV10" s="11"/>
      <c r="EW10" s="8"/>
      <c r="EX10" s="11"/>
      <c r="EY10" s="11"/>
      <c r="EZ10" s="11"/>
      <c r="FA10" s="11"/>
      <c r="FB10" s="11"/>
      <c r="FC10" s="11"/>
      <c r="FD10" s="8"/>
      <c r="FE10" s="11"/>
      <c r="FF10" s="11"/>
      <c r="FG10" s="11"/>
      <c r="FH10" s="11"/>
      <c r="FI10" s="11"/>
      <c r="FJ10" s="11"/>
      <c r="FK10" s="8"/>
      <c r="FL10" s="11"/>
      <c r="FM10" s="11"/>
      <c r="FN10" s="11"/>
      <c r="FO10" s="11"/>
      <c r="FP10" s="11"/>
      <c r="FQ10" s="11"/>
      <c r="FR10" s="8"/>
      <c r="FS10" s="11"/>
      <c r="FT10" s="11"/>
      <c r="FU10" s="11"/>
      <c r="FV10" s="11"/>
      <c r="FW10" s="11"/>
      <c r="FX10" s="11"/>
      <c r="FY10" s="8"/>
    </row>
    <row r="11" spans="1:182" ht="15.75" thickBot="1" x14ac:dyDescent="0.3">
      <c r="A11" s="88"/>
      <c r="B11" s="88"/>
      <c r="C11" s="89"/>
      <c r="D11" s="14">
        <f>SUM(D6:D9,D6,D6:D10)</f>
        <v>0</v>
      </c>
      <c r="E11" s="34">
        <f>SUM(E6:E10)</f>
        <v>74</v>
      </c>
      <c r="F11" s="34">
        <f t="shared" ref="F11:BJ11" si="1">SUM(F6:F10)</f>
        <v>0</v>
      </c>
      <c r="G11" s="34">
        <f t="shared" si="1"/>
        <v>5</v>
      </c>
      <c r="H11" s="34">
        <f>SUM(H6:H10)</f>
        <v>0</v>
      </c>
      <c r="I11" s="34">
        <f t="shared" si="1"/>
        <v>5</v>
      </c>
      <c r="J11" s="34">
        <f t="shared" si="1"/>
        <v>4</v>
      </c>
      <c r="K11" s="34">
        <f t="shared" si="1"/>
        <v>2</v>
      </c>
      <c r="L11" s="34">
        <f t="shared" si="1"/>
        <v>1</v>
      </c>
      <c r="M11" s="34">
        <f t="shared" si="1"/>
        <v>0</v>
      </c>
      <c r="N11" s="34">
        <f t="shared" si="1"/>
        <v>6</v>
      </c>
      <c r="O11" s="34">
        <f t="shared" si="1"/>
        <v>5</v>
      </c>
      <c r="P11" s="34">
        <f t="shared" si="1"/>
        <v>5</v>
      </c>
      <c r="Q11" s="34">
        <f t="shared" si="1"/>
        <v>4</v>
      </c>
      <c r="R11" s="34">
        <f t="shared" si="1"/>
        <v>5</v>
      </c>
      <c r="S11" s="34">
        <f t="shared" si="1"/>
        <v>0</v>
      </c>
      <c r="T11" s="34">
        <f t="shared" si="1"/>
        <v>0</v>
      </c>
      <c r="U11" s="34">
        <f t="shared" si="1"/>
        <v>4</v>
      </c>
      <c r="V11" s="34">
        <f t="shared" si="1"/>
        <v>5</v>
      </c>
      <c r="W11" s="34">
        <f t="shared" si="1"/>
        <v>7</v>
      </c>
      <c r="X11" s="34">
        <f t="shared" si="1"/>
        <v>0</v>
      </c>
      <c r="Y11" s="34">
        <f t="shared" si="1"/>
        <v>0</v>
      </c>
      <c r="Z11" s="34">
        <f t="shared" si="1"/>
        <v>0</v>
      </c>
      <c r="AA11" s="34">
        <f t="shared" si="1"/>
        <v>0</v>
      </c>
      <c r="AB11" s="34">
        <f t="shared" si="1"/>
        <v>0</v>
      </c>
      <c r="AC11" s="34">
        <f t="shared" si="1"/>
        <v>0</v>
      </c>
      <c r="AD11" s="34">
        <f t="shared" si="1"/>
        <v>0</v>
      </c>
      <c r="AE11" s="34">
        <f t="shared" si="1"/>
        <v>5</v>
      </c>
      <c r="AF11" s="34">
        <f t="shared" si="1"/>
        <v>7</v>
      </c>
      <c r="AG11" s="34">
        <f t="shared" si="1"/>
        <v>0</v>
      </c>
      <c r="AH11" s="34">
        <f t="shared" si="1"/>
        <v>0</v>
      </c>
      <c r="AI11" s="34">
        <f t="shared" si="1"/>
        <v>6</v>
      </c>
      <c r="AJ11" s="34">
        <f t="shared" si="1"/>
        <v>3</v>
      </c>
      <c r="AK11" s="34">
        <f t="shared" si="1"/>
        <v>0</v>
      </c>
      <c r="AL11" s="34">
        <f t="shared" si="1"/>
        <v>0</v>
      </c>
      <c r="AM11" s="34">
        <f t="shared" si="1"/>
        <v>0</v>
      </c>
      <c r="AN11" s="34">
        <f t="shared" si="1"/>
        <v>0</v>
      </c>
      <c r="AO11" s="34">
        <f t="shared" si="1"/>
        <v>0</v>
      </c>
      <c r="AP11" s="34">
        <f t="shared" si="1"/>
        <v>0</v>
      </c>
      <c r="AQ11" s="34">
        <f t="shared" si="1"/>
        <v>0</v>
      </c>
      <c r="AR11" s="34">
        <f t="shared" si="1"/>
        <v>0</v>
      </c>
      <c r="AS11" s="34">
        <f t="shared" si="1"/>
        <v>0</v>
      </c>
      <c r="AT11" s="34">
        <f t="shared" si="1"/>
        <v>0</v>
      </c>
      <c r="AU11" s="34">
        <f t="shared" si="1"/>
        <v>0</v>
      </c>
      <c r="AV11" s="34">
        <f t="shared" si="1"/>
        <v>0</v>
      </c>
      <c r="AW11" s="34">
        <f t="shared" si="1"/>
        <v>0</v>
      </c>
      <c r="AX11" s="34">
        <f t="shared" si="1"/>
        <v>0</v>
      </c>
      <c r="AY11" s="34">
        <f t="shared" si="1"/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34">
        <f t="shared" ref="BD11" si="2">SUM(BD6:BD10)</f>
        <v>0</v>
      </c>
      <c r="BE11" s="34">
        <f t="shared" ref="BE11" si="3">SUM(BE6:BE10)</f>
        <v>0</v>
      </c>
      <c r="BF11" s="34">
        <f t="shared" ref="BF11" si="4">SUM(BF6:BF10)</f>
        <v>0</v>
      </c>
      <c r="BG11" s="34">
        <f t="shared" ref="BG11" si="5">SUM(BG6:BG10)</f>
        <v>0</v>
      </c>
      <c r="BH11" s="34">
        <f t="shared" ref="BH11" si="6">SUM(BH6:BH10)</f>
        <v>0</v>
      </c>
      <c r="BI11" s="34">
        <f t="shared" ref="BI11" si="7">SUM(BI6:BI10)</f>
        <v>0</v>
      </c>
      <c r="BJ11" s="34">
        <f t="shared" si="1"/>
        <v>0</v>
      </c>
      <c r="BK11" s="34">
        <f t="shared" ref="BK11:DV11" si="8">SUM(BK6:BK10)</f>
        <v>0</v>
      </c>
      <c r="BL11" s="34">
        <f t="shared" si="8"/>
        <v>0</v>
      </c>
      <c r="BM11" s="34">
        <f t="shared" si="8"/>
        <v>0</v>
      </c>
      <c r="BN11" s="34">
        <f t="shared" si="8"/>
        <v>0</v>
      </c>
      <c r="BO11" s="34">
        <f t="shared" si="8"/>
        <v>0</v>
      </c>
      <c r="BP11" s="34">
        <f t="shared" si="8"/>
        <v>0</v>
      </c>
      <c r="BQ11" s="34">
        <f t="shared" si="8"/>
        <v>0</v>
      </c>
      <c r="BR11" s="34">
        <f t="shared" si="8"/>
        <v>0</v>
      </c>
      <c r="BS11" s="34">
        <f t="shared" si="8"/>
        <v>0</v>
      </c>
      <c r="BT11" s="34">
        <f t="shared" si="8"/>
        <v>0</v>
      </c>
      <c r="BU11" s="34">
        <f t="shared" si="8"/>
        <v>0</v>
      </c>
      <c r="BV11" s="34">
        <f t="shared" si="8"/>
        <v>0</v>
      </c>
      <c r="BW11" s="34">
        <f t="shared" si="8"/>
        <v>0</v>
      </c>
      <c r="BX11" s="34">
        <f t="shared" si="8"/>
        <v>0</v>
      </c>
      <c r="BY11" s="34">
        <f t="shared" si="8"/>
        <v>0</v>
      </c>
      <c r="BZ11" s="34">
        <f t="shared" si="8"/>
        <v>0</v>
      </c>
      <c r="CA11" s="34">
        <f t="shared" si="8"/>
        <v>0</v>
      </c>
      <c r="CB11" s="34">
        <f t="shared" si="8"/>
        <v>0</v>
      </c>
      <c r="CC11" s="34">
        <f t="shared" si="8"/>
        <v>0</v>
      </c>
      <c r="CD11" s="34">
        <f t="shared" si="8"/>
        <v>0</v>
      </c>
      <c r="CE11" s="34">
        <f t="shared" si="8"/>
        <v>0</v>
      </c>
      <c r="CF11" s="34">
        <f t="shared" si="8"/>
        <v>0</v>
      </c>
      <c r="CG11" s="34">
        <f t="shared" si="8"/>
        <v>0</v>
      </c>
      <c r="CH11" s="34">
        <f t="shared" si="8"/>
        <v>0</v>
      </c>
      <c r="CI11" s="34">
        <f t="shared" si="8"/>
        <v>0</v>
      </c>
      <c r="CJ11" s="34">
        <f t="shared" si="8"/>
        <v>0</v>
      </c>
      <c r="CK11" s="34">
        <f t="shared" si="8"/>
        <v>0</v>
      </c>
      <c r="CL11" s="34">
        <f t="shared" si="8"/>
        <v>0</v>
      </c>
      <c r="CM11" s="34">
        <f t="shared" si="8"/>
        <v>0</v>
      </c>
      <c r="CN11" s="34">
        <f t="shared" si="8"/>
        <v>0</v>
      </c>
      <c r="CO11" s="34">
        <f t="shared" si="8"/>
        <v>0</v>
      </c>
      <c r="CP11" s="34">
        <f t="shared" si="8"/>
        <v>0</v>
      </c>
      <c r="CQ11" s="34">
        <f t="shared" si="8"/>
        <v>0</v>
      </c>
      <c r="CR11" s="34">
        <f t="shared" si="8"/>
        <v>0</v>
      </c>
      <c r="CS11" s="34">
        <f t="shared" si="8"/>
        <v>0</v>
      </c>
      <c r="CT11" s="34">
        <f t="shared" si="8"/>
        <v>0</v>
      </c>
      <c r="CU11" s="34">
        <f t="shared" si="8"/>
        <v>0</v>
      </c>
      <c r="CV11" s="34">
        <f t="shared" si="8"/>
        <v>0</v>
      </c>
      <c r="CW11" s="34">
        <f t="shared" si="8"/>
        <v>0</v>
      </c>
      <c r="CX11" s="34">
        <f t="shared" si="8"/>
        <v>0</v>
      </c>
      <c r="CY11" s="34">
        <f t="shared" si="8"/>
        <v>0</v>
      </c>
      <c r="CZ11" s="34">
        <f t="shared" si="8"/>
        <v>0</v>
      </c>
      <c r="DA11" s="34">
        <f t="shared" si="8"/>
        <v>0</v>
      </c>
      <c r="DB11" s="34">
        <f t="shared" si="8"/>
        <v>0</v>
      </c>
      <c r="DC11" s="34">
        <f t="shared" si="8"/>
        <v>0</v>
      </c>
      <c r="DD11" s="34">
        <f t="shared" si="8"/>
        <v>0</v>
      </c>
      <c r="DE11" s="34">
        <f t="shared" si="8"/>
        <v>0</v>
      </c>
      <c r="DF11" s="34">
        <f t="shared" si="8"/>
        <v>0</v>
      </c>
      <c r="DG11" s="34">
        <f t="shared" si="8"/>
        <v>0</v>
      </c>
      <c r="DH11" s="34">
        <f t="shared" si="8"/>
        <v>0</v>
      </c>
      <c r="DI11" s="34">
        <f t="shared" si="8"/>
        <v>0</v>
      </c>
      <c r="DJ11" s="34">
        <f t="shared" si="8"/>
        <v>0</v>
      </c>
      <c r="DK11" s="34">
        <f t="shared" si="8"/>
        <v>0</v>
      </c>
      <c r="DL11" s="34">
        <f t="shared" si="8"/>
        <v>0</v>
      </c>
      <c r="DM11" s="34">
        <f t="shared" si="8"/>
        <v>0</v>
      </c>
      <c r="DN11" s="34">
        <f t="shared" si="8"/>
        <v>0</v>
      </c>
      <c r="DO11" s="34">
        <f t="shared" si="8"/>
        <v>0</v>
      </c>
      <c r="DP11" s="34">
        <f t="shared" si="8"/>
        <v>0</v>
      </c>
      <c r="DQ11" s="34">
        <f t="shared" si="8"/>
        <v>0</v>
      </c>
      <c r="DR11" s="34">
        <f t="shared" si="8"/>
        <v>0</v>
      </c>
      <c r="DS11" s="34">
        <f t="shared" si="8"/>
        <v>0</v>
      </c>
      <c r="DT11" s="34">
        <f t="shared" si="8"/>
        <v>0</v>
      </c>
      <c r="DU11" s="34">
        <f t="shared" si="8"/>
        <v>0</v>
      </c>
      <c r="DV11" s="34">
        <f t="shared" si="8"/>
        <v>0</v>
      </c>
      <c r="DW11" s="34">
        <f t="shared" ref="DW11:FY11" si="9">SUM(DW6:DW10)</f>
        <v>0</v>
      </c>
      <c r="DX11" s="34">
        <f t="shared" si="9"/>
        <v>0</v>
      </c>
      <c r="DY11" s="34">
        <f t="shared" si="9"/>
        <v>0</v>
      </c>
      <c r="DZ11" s="34">
        <f t="shared" si="9"/>
        <v>0</v>
      </c>
      <c r="EA11" s="34">
        <f t="shared" si="9"/>
        <v>0</v>
      </c>
      <c r="EB11" s="34">
        <f t="shared" si="9"/>
        <v>0</v>
      </c>
      <c r="EC11" s="34">
        <f t="shared" si="9"/>
        <v>0</v>
      </c>
      <c r="ED11" s="34">
        <f t="shared" si="9"/>
        <v>0</v>
      </c>
      <c r="EE11" s="34">
        <f t="shared" si="9"/>
        <v>0</v>
      </c>
      <c r="EF11" s="34">
        <f t="shared" si="9"/>
        <v>0</v>
      </c>
      <c r="EG11" s="34">
        <f t="shared" si="9"/>
        <v>0</v>
      </c>
      <c r="EH11" s="34">
        <f t="shared" si="9"/>
        <v>0</v>
      </c>
      <c r="EI11" s="34">
        <f t="shared" si="9"/>
        <v>0</v>
      </c>
      <c r="EJ11" s="34">
        <f t="shared" si="9"/>
        <v>0</v>
      </c>
      <c r="EK11" s="34">
        <f t="shared" si="9"/>
        <v>0</v>
      </c>
      <c r="EL11" s="34">
        <f t="shared" si="9"/>
        <v>0</v>
      </c>
      <c r="EM11" s="34">
        <f t="shared" si="9"/>
        <v>0</v>
      </c>
      <c r="EN11" s="34">
        <f t="shared" si="9"/>
        <v>0</v>
      </c>
      <c r="EO11" s="34">
        <f t="shared" si="9"/>
        <v>0</v>
      </c>
      <c r="EP11" s="34">
        <f t="shared" si="9"/>
        <v>0</v>
      </c>
      <c r="EQ11" s="34">
        <f t="shared" si="9"/>
        <v>0</v>
      </c>
      <c r="ER11" s="34">
        <f t="shared" si="9"/>
        <v>0</v>
      </c>
      <c r="ES11" s="34">
        <f t="shared" si="9"/>
        <v>0</v>
      </c>
      <c r="ET11" s="34">
        <f t="shared" si="9"/>
        <v>0</v>
      </c>
      <c r="EU11" s="34">
        <f t="shared" si="9"/>
        <v>0</v>
      </c>
      <c r="EV11" s="34">
        <f t="shared" si="9"/>
        <v>0</v>
      </c>
      <c r="EW11" s="34">
        <f t="shared" si="9"/>
        <v>0</v>
      </c>
      <c r="EX11" s="34">
        <f t="shared" si="9"/>
        <v>0</v>
      </c>
      <c r="EY11" s="34">
        <f t="shared" si="9"/>
        <v>0</v>
      </c>
      <c r="EZ11" s="34">
        <f t="shared" si="9"/>
        <v>0</v>
      </c>
      <c r="FA11" s="34">
        <f t="shared" si="9"/>
        <v>0</v>
      </c>
      <c r="FB11" s="34">
        <f t="shared" si="9"/>
        <v>0</v>
      </c>
      <c r="FC11" s="34">
        <f t="shared" si="9"/>
        <v>0</v>
      </c>
      <c r="FD11" s="34">
        <f t="shared" si="9"/>
        <v>0</v>
      </c>
      <c r="FE11" s="34">
        <f t="shared" si="9"/>
        <v>0</v>
      </c>
      <c r="FF11" s="34">
        <f t="shared" si="9"/>
        <v>0</v>
      </c>
      <c r="FG11" s="34">
        <f t="shared" si="9"/>
        <v>0</v>
      </c>
      <c r="FH11" s="34">
        <f t="shared" si="9"/>
        <v>0</v>
      </c>
      <c r="FI11" s="34">
        <f t="shared" si="9"/>
        <v>0</v>
      </c>
      <c r="FJ11" s="34">
        <f t="shared" si="9"/>
        <v>0</v>
      </c>
      <c r="FK11" s="34">
        <f t="shared" si="9"/>
        <v>0</v>
      </c>
      <c r="FL11" s="34">
        <f t="shared" si="9"/>
        <v>0</v>
      </c>
      <c r="FM11" s="34">
        <f t="shared" si="9"/>
        <v>0</v>
      </c>
      <c r="FN11" s="34">
        <f t="shared" si="9"/>
        <v>0</v>
      </c>
      <c r="FO11" s="34">
        <f t="shared" si="9"/>
        <v>0</v>
      </c>
      <c r="FP11" s="34">
        <f t="shared" si="9"/>
        <v>0</v>
      </c>
      <c r="FQ11" s="34">
        <f t="shared" si="9"/>
        <v>0</v>
      </c>
      <c r="FR11" s="34">
        <f t="shared" si="9"/>
        <v>0</v>
      </c>
      <c r="FS11" s="34">
        <f t="shared" si="9"/>
        <v>0</v>
      </c>
      <c r="FT11" s="34">
        <f t="shared" si="9"/>
        <v>0</v>
      </c>
      <c r="FU11" s="34">
        <f t="shared" si="9"/>
        <v>0</v>
      </c>
      <c r="FV11" s="34">
        <f t="shared" si="9"/>
        <v>0</v>
      </c>
      <c r="FW11" s="34">
        <f t="shared" si="9"/>
        <v>0</v>
      </c>
      <c r="FX11" s="34">
        <f t="shared" si="9"/>
        <v>0</v>
      </c>
      <c r="FY11" s="34">
        <f t="shared" si="9"/>
        <v>0</v>
      </c>
    </row>
    <row r="12" spans="1:182" ht="15.75" thickBot="1" x14ac:dyDescent="0.3">
      <c r="A12" s="87"/>
      <c r="B12" s="87"/>
      <c r="C12" s="87"/>
      <c r="D12" s="76"/>
      <c r="E12" s="22"/>
      <c r="F12" s="70"/>
      <c r="G12" s="71"/>
      <c r="H12" s="22">
        <f>H11/G11</f>
        <v>0</v>
      </c>
      <c r="I12" s="22">
        <f>I11/G11</f>
        <v>1</v>
      </c>
      <c r="J12" s="22">
        <f>J11/G11</f>
        <v>0.8</v>
      </c>
      <c r="K12" s="22">
        <f>K11/G11</f>
        <v>0.4</v>
      </c>
      <c r="L12" s="22">
        <f>L11/G11</f>
        <v>0.2</v>
      </c>
      <c r="M12" s="22">
        <f>M11/G11</f>
        <v>0</v>
      </c>
      <c r="N12" s="22">
        <f>N11/G11</f>
        <v>1.2</v>
      </c>
      <c r="O12" s="22">
        <f>O11/G11</f>
        <v>1</v>
      </c>
      <c r="P12" s="22">
        <f>P11/G11</f>
        <v>1</v>
      </c>
      <c r="Q12" s="22">
        <f>Q11/G11</f>
        <v>0.8</v>
      </c>
      <c r="R12" s="22">
        <f>R11/G11</f>
        <v>1</v>
      </c>
      <c r="S12" s="22">
        <f>S11/G11</f>
        <v>0</v>
      </c>
      <c r="T12" s="22">
        <f>T11/G11</f>
        <v>0</v>
      </c>
      <c r="U12" s="22">
        <f>U11/G11</f>
        <v>0.8</v>
      </c>
      <c r="V12" s="22">
        <f>V11/G11</f>
        <v>1</v>
      </c>
      <c r="W12" s="22">
        <f>W11/G11</f>
        <v>1.4</v>
      </c>
      <c r="X12" s="22">
        <f>X11/G11</f>
        <v>0</v>
      </c>
      <c r="Y12" s="22">
        <f>Y11/G11</f>
        <v>0</v>
      </c>
      <c r="Z12" s="22">
        <f>Z11/G11</f>
        <v>0</v>
      </c>
      <c r="AA12" s="22">
        <f>AA11/G11</f>
        <v>0</v>
      </c>
      <c r="AB12" s="22">
        <f>AB11/G11</f>
        <v>0</v>
      </c>
      <c r="AC12" s="22">
        <f>AC11/G11</f>
        <v>0</v>
      </c>
      <c r="AD12" s="22">
        <f>AD11/G11</f>
        <v>0</v>
      </c>
      <c r="AE12" s="22">
        <f>AE11/G11</f>
        <v>1</v>
      </c>
      <c r="AF12" s="22">
        <f>AF11/G11</f>
        <v>1.4</v>
      </c>
      <c r="AG12" s="22">
        <f>AG11/G11</f>
        <v>0</v>
      </c>
      <c r="AH12" s="22">
        <f>AH11/G11</f>
        <v>0</v>
      </c>
      <c r="AI12" s="22">
        <f>AI11/G11</f>
        <v>1.2</v>
      </c>
      <c r="AJ12" s="22">
        <f>AJ11/G11</f>
        <v>0.6</v>
      </c>
      <c r="AK12" s="22">
        <f>AK11/G11</f>
        <v>0</v>
      </c>
      <c r="AL12" s="22">
        <f>AL11/G11</f>
        <v>0</v>
      </c>
      <c r="AM12" s="22">
        <f>AM11/G11</f>
        <v>0</v>
      </c>
      <c r="AN12" s="22">
        <f>AN11/G11</f>
        <v>0</v>
      </c>
      <c r="AO12" s="22">
        <f>AO11/G11</f>
        <v>0</v>
      </c>
      <c r="AP12" s="22">
        <f>AP11/G11</f>
        <v>0</v>
      </c>
      <c r="AQ12" s="22">
        <f>AQ11/G11</f>
        <v>0</v>
      </c>
      <c r="AR12" s="22">
        <f>AR11/G11</f>
        <v>0</v>
      </c>
      <c r="AS12" s="22">
        <f>AS11/G11</f>
        <v>0</v>
      </c>
      <c r="AT12" s="22">
        <f>AT11/G11</f>
        <v>0</v>
      </c>
      <c r="AU12" s="22">
        <f>AU11/G11</f>
        <v>0</v>
      </c>
      <c r="AV12" s="22">
        <f>AV11/G11</f>
        <v>0</v>
      </c>
      <c r="AW12" s="22">
        <f>AW11/G11</f>
        <v>0</v>
      </c>
      <c r="AX12" s="22">
        <f>AX11/G11</f>
        <v>0</v>
      </c>
      <c r="AY12" s="22">
        <f>AY11/G11</f>
        <v>0</v>
      </c>
      <c r="AZ12" s="22">
        <f>AZ11/G11</f>
        <v>0</v>
      </c>
      <c r="BA12" s="22">
        <f>BA11/G11</f>
        <v>0</v>
      </c>
      <c r="BB12" s="22">
        <f>BB11/G11</f>
        <v>0</v>
      </c>
      <c r="BC12" s="22">
        <f>BC11/G11</f>
        <v>0</v>
      </c>
      <c r="BD12" s="22">
        <f>BD11/G11</f>
        <v>0</v>
      </c>
      <c r="BE12" s="22">
        <f>BE11/G11</f>
        <v>0</v>
      </c>
      <c r="BF12" s="22">
        <f>BF11/G11</f>
        <v>0</v>
      </c>
      <c r="BG12" s="22">
        <f>BG11/G11</f>
        <v>0</v>
      </c>
      <c r="BH12" s="22">
        <f>BH11/G11</f>
        <v>0</v>
      </c>
      <c r="BI12" s="22">
        <f>BI11/G11</f>
        <v>0</v>
      </c>
      <c r="BJ12" s="22">
        <f>BJ11/G11</f>
        <v>0</v>
      </c>
      <c r="BK12" s="22" t="e">
        <f t="shared" ref="BK12:DV12" si="10">BK11/H11</f>
        <v>#DIV/0!</v>
      </c>
      <c r="BL12" s="22">
        <f t="shared" si="10"/>
        <v>0</v>
      </c>
      <c r="BM12" s="22">
        <f t="shared" si="10"/>
        <v>0</v>
      </c>
      <c r="BN12" s="22">
        <f t="shared" si="10"/>
        <v>0</v>
      </c>
      <c r="BO12" s="22">
        <f t="shared" si="10"/>
        <v>0</v>
      </c>
      <c r="BP12" s="22" t="e">
        <f t="shared" si="10"/>
        <v>#DIV/0!</v>
      </c>
      <c r="BQ12" s="22">
        <f t="shared" si="10"/>
        <v>0</v>
      </c>
      <c r="BR12" s="22">
        <f t="shared" si="10"/>
        <v>0</v>
      </c>
      <c r="BS12" s="22">
        <f t="shared" si="10"/>
        <v>0</v>
      </c>
      <c r="BT12" s="22">
        <f t="shared" si="10"/>
        <v>0</v>
      </c>
      <c r="BU12" s="22">
        <f t="shared" si="10"/>
        <v>0</v>
      </c>
      <c r="BV12" s="22" t="e">
        <f t="shared" ref="BV12" si="11">BV11/S11</f>
        <v>#DIV/0!</v>
      </c>
      <c r="BW12" s="22" t="e">
        <f t="shared" ref="BW12" si="12">BW11/T11</f>
        <v>#DIV/0!</v>
      </c>
      <c r="BX12" s="22">
        <f t="shared" ref="BX12" si="13">BX11/U11</f>
        <v>0</v>
      </c>
      <c r="BY12" s="22">
        <f t="shared" ref="BY12" si="14">BY11/V11</f>
        <v>0</v>
      </c>
      <c r="BZ12" s="22">
        <f t="shared" ref="BZ12" si="15">BZ11/W11</f>
        <v>0</v>
      </c>
      <c r="CA12" s="22" t="e">
        <f t="shared" ref="CA12" si="16">CA11/X11</f>
        <v>#DIV/0!</v>
      </c>
      <c r="CB12" s="22" t="e">
        <f t="shared" ref="CB12" si="17">CB11/Y11</f>
        <v>#DIV/0!</v>
      </c>
      <c r="CC12" s="22" t="e">
        <f t="shared" ref="CC12" si="18">CC11/Z11</f>
        <v>#DIV/0!</v>
      </c>
      <c r="CD12" s="22" t="e">
        <f t="shared" ref="CD12" si="19">CD11/AA11</f>
        <v>#DIV/0!</v>
      </c>
      <c r="CE12" s="22" t="e">
        <f t="shared" ref="CE12" si="20">CE11/AB11</f>
        <v>#DIV/0!</v>
      </c>
      <c r="CF12" s="22" t="e">
        <f t="shared" ref="CF12" si="21">CF11/AC11</f>
        <v>#DIV/0!</v>
      </c>
      <c r="CG12" s="22" t="e">
        <f t="shared" ref="CG12" si="22">CG11/AD11</f>
        <v>#DIV/0!</v>
      </c>
      <c r="CH12" s="22">
        <f t="shared" ref="CH12" si="23">CH11/AE11</f>
        <v>0</v>
      </c>
      <c r="CI12" s="22">
        <f t="shared" ref="CI12" si="24">CI11/AF11</f>
        <v>0</v>
      </c>
      <c r="CJ12" s="22" t="e">
        <f t="shared" ref="CJ12" si="25">CJ11/AG11</f>
        <v>#DIV/0!</v>
      </c>
      <c r="CK12" s="22" t="e">
        <f t="shared" ref="CK12" si="26">CK11/AH11</f>
        <v>#DIV/0!</v>
      </c>
      <c r="CL12" s="22">
        <f t="shared" ref="CL12" si="27">CL11/AI11</f>
        <v>0</v>
      </c>
      <c r="CM12" s="22">
        <f t="shared" ref="CM12" si="28">CM11/AJ11</f>
        <v>0</v>
      </c>
      <c r="CN12" s="22" t="e">
        <f t="shared" ref="CN12" si="29">CN11/AK11</f>
        <v>#DIV/0!</v>
      </c>
      <c r="CO12" s="22" t="e">
        <f t="shared" ref="CO12" si="30">CO11/AL11</f>
        <v>#DIV/0!</v>
      </c>
      <c r="CP12" s="22" t="e">
        <f t="shared" ref="CP12" si="31">CP11/AM11</f>
        <v>#DIV/0!</v>
      </c>
      <c r="CQ12" s="22" t="e">
        <f t="shared" ref="CQ12" si="32">CQ11/AN11</f>
        <v>#DIV/0!</v>
      </c>
      <c r="CR12" s="22" t="e">
        <f t="shared" ref="CR12" si="33">CR11/AO11</f>
        <v>#DIV/0!</v>
      </c>
      <c r="CS12" s="22" t="e">
        <f t="shared" ref="CS12" si="34">CS11/AP11</f>
        <v>#DIV/0!</v>
      </c>
      <c r="CT12" s="22" t="e">
        <f t="shared" ref="CT12" si="35">CT11/AQ11</f>
        <v>#DIV/0!</v>
      </c>
      <c r="CU12" s="22" t="e">
        <f t="shared" ref="CU12" si="36">CU11/AR11</f>
        <v>#DIV/0!</v>
      </c>
      <c r="CV12" s="22" t="e">
        <f t="shared" ref="CV12" si="37">CV11/AS11</f>
        <v>#DIV/0!</v>
      </c>
      <c r="CW12" s="22" t="e">
        <f t="shared" ref="CW12" si="38">CW11/AT11</f>
        <v>#DIV/0!</v>
      </c>
      <c r="CX12" s="22" t="e">
        <f t="shared" ref="CX12" si="39">CX11/AU11</f>
        <v>#DIV/0!</v>
      </c>
      <c r="CY12" s="22" t="e">
        <f t="shared" ref="CY12" si="40">CY11/AV11</f>
        <v>#DIV/0!</v>
      </c>
      <c r="CZ12" s="22" t="e">
        <f t="shared" ref="CZ12" si="41">CZ11/AW11</f>
        <v>#DIV/0!</v>
      </c>
      <c r="DA12" s="22" t="e">
        <f t="shared" ref="DA12" si="42">DA11/AX11</f>
        <v>#DIV/0!</v>
      </c>
      <c r="DB12" s="22" t="e">
        <f t="shared" ref="DB12" si="43">DB11/AY11</f>
        <v>#DIV/0!</v>
      </c>
      <c r="DC12" s="22" t="e">
        <f t="shared" ref="DC12" si="44">DC11/AZ11</f>
        <v>#DIV/0!</v>
      </c>
      <c r="DD12" s="22" t="e">
        <f t="shared" ref="DD12" si="45">DD11/BA11</f>
        <v>#DIV/0!</v>
      </c>
      <c r="DE12" s="22" t="e">
        <f t="shared" ref="DE12" si="46">DE11/BB11</f>
        <v>#DIV/0!</v>
      </c>
      <c r="DF12" s="22" t="e">
        <f t="shared" ref="DF12" si="47">DF11/BC11</f>
        <v>#DIV/0!</v>
      </c>
      <c r="DG12" s="22" t="e">
        <f t="shared" ref="DG12" si="48">DG11/BD11</f>
        <v>#DIV/0!</v>
      </c>
      <c r="DH12" s="22" t="e">
        <f t="shared" ref="DH12" si="49">DH11/BE11</f>
        <v>#DIV/0!</v>
      </c>
      <c r="DI12" s="22" t="e">
        <f t="shared" ref="DI12" si="50">DI11/BF11</f>
        <v>#DIV/0!</v>
      </c>
      <c r="DJ12" s="22" t="e">
        <f t="shared" ref="DJ12" si="51">DJ11/BG11</f>
        <v>#DIV/0!</v>
      </c>
      <c r="DK12" s="22" t="e">
        <f t="shared" ref="DK12" si="52">DK11/BH11</f>
        <v>#DIV/0!</v>
      </c>
      <c r="DL12" s="22" t="e">
        <f t="shared" ref="DL12" si="53">DL11/BI11</f>
        <v>#DIV/0!</v>
      </c>
      <c r="DM12" s="22" t="e">
        <f t="shared" ref="DM12" si="54">DM11/BJ11</f>
        <v>#DIV/0!</v>
      </c>
      <c r="DN12" s="22" t="e">
        <f t="shared" ref="DN12" si="55">DN11/BK11</f>
        <v>#DIV/0!</v>
      </c>
      <c r="DO12" s="22" t="e">
        <f t="shared" ref="DO12" si="56">DO11/BL11</f>
        <v>#DIV/0!</v>
      </c>
      <c r="DP12" s="22" t="e">
        <f t="shared" ref="DP12" si="57">DP11/BM11</f>
        <v>#DIV/0!</v>
      </c>
      <c r="DQ12" s="22" t="e">
        <f t="shared" ref="DQ12" si="58">DQ11/BN11</f>
        <v>#DIV/0!</v>
      </c>
      <c r="DR12" s="22" t="e">
        <f t="shared" ref="DR12" si="59">DR11/BO11</f>
        <v>#DIV/0!</v>
      </c>
      <c r="DS12" s="22" t="e">
        <f t="shared" ref="DS12" si="60">DS11/BP11</f>
        <v>#DIV/0!</v>
      </c>
      <c r="DT12" s="22" t="e">
        <f t="shared" ref="DT12" si="61">DT11/BQ11</f>
        <v>#DIV/0!</v>
      </c>
      <c r="DU12" s="22" t="e">
        <f t="shared" ref="DU12" si="62">DU11/BR11</f>
        <v>#DIV/0!</v>
      </c>
      <c r="DV12" s="22" t="e">
        <f t="shared" ref="DV12" si="63">DV11/BS11</f>
        <v>#DIV/0!</v>
      </c>
      <c r="DW12" s="22" t="e">
        <f t="shared" ref="DW12" si="64">DW11/BT11</f>
        <v>#DIV/0!</v>
      </c>
      <c r="DX12" s="22" t="e">
        <f t="shared" ref="DX12" si="65">DX11/BU11</f>
        <v>#DIV/0!</v>
      </c>
      <c r="DY12" s="22" t="e">
        <f t="shared" ref="DY12" si="66">DY11/BV11</f>
        <v>#DIV/0!</v>
      </c>
      <c r="DZ12" s="22" t="e">
        <f t="shared" ref="DZ12" si="67">DZ11/BW11</f>
        <v>#DIV/0!</v>
      </c>
      <c r="EA12" s="22" t="e">
        <f t="shared" ref="EA12" si="68">EA11/BX11</f>
        <v>#DIV/0!</v>
      </c>
      <c r="EB12" s="22" t="e">
        <f t="shared" ref="EB12" si="69">EB11/BY11</f>
        <v>#DIV/0!</v>
      </c>
      <c r="EC12" s="22" t="e">
        <f t="shared" ref="EC12" si="70">EC11/BZ11</f>
        <v>#DIV/0!</v>
      </c>
      <c r="ED12" s="22" t="e">
        <f t="shared" ref="ED12" si="71">ED11/CA11</f>
        <v>#DIV/0!</v>
      </c>
      <c r="EE12" s="22" t="e">
        <f t="shared" ref="EE12" si="72">EE11/CB11</f>
        <v>#DIV/0!</v>
      </c>
      <c r="EF12" s="22" t="e">
        <f t="shared" ref="EF12" si="73">EF11/CC11</f>
        <v>#DIV/0!</v>
      </c>
      <c r="EG12" s="22" t="e">
        <f t="shared" ref="EG12" si="74">EG11/CD11</f>
        <v>#DIV/0!</v>
      </c>
      <c r="EH12" s="22" t="e">
        <f t="shared" ref="EH12" si="75">EH11/CE11</f>
        <v>#DIV/0!</v>
      </c>
      <c r="EI12" s="22" t="e">
        <f t="shared" ref="EI12" si="76">EI11/CF11</f>
        <v>#DIV/0!</v>
      </c>
      <c r="EJ12" s="22" t="e">
        <f t="shared" ref="EJ12" si="77">EJ11/CG11</f>
        <v>#DIV/0!</v>
      </c>
      <c r="EK12" s="22" t="e">
        <f t="shared" ref="EK12" si="78">EK11/CH11</f>
        <v>#DIV/0!</v>
      </c>
      <c r="EL12" s="22" t="e">
        <f t="shared" ref="EL12" si="79">EL11/CI11</f>
        <v>#DIV/0!</v>
      </c>
      <c r="EM12" s="22" t="e">
        <f t="shared" ref="EM12" si="80">EM11/CJ11</f>
        <v>#DIV/0!</v>
      </c>
      <c r="EN12" s="22" t="e">
        <f t="shared" ref="EN12" si="81">EN11/CK11</f>
        <v>#DIV/0!</v>
      </c>
      <c r="EO12" s="22" t="e">
        <f t="shared" ref="EO12" si="82">EO11/CL11</f>
        <v>#DIV/0!</v>
      </c>
      <c r="EP12" s="22" t="e">
        <f t="shared" ref="EP12" si="83">EP11/CM11</f>
        <v>#DIV/0!</v>
      </c>
      <c r="EQ12" s="22" t="e">
        <f t="shared" ref="EQ12" si="84">EQ11/CN11</f>
        <v>#DIV/0!</v>
      </c>
      <c r="ER12" s="22" t="e">
        <f t="shared" ref="ER12" si="85">ER11/CO11</f>
        <v>#DIV/0!</v>
      </c>
      <c r="ES12" s="22" t="e">
        <f t="shared" ref="ES12" si="86">ES11/CP11</f>
        <v>#DIV/0!</v>
      </c>
      <c r="ET12" s="22" t="e">
        <f t="shared" ref="ET12" si="87">ET11/CQ11</f>
        <v>#DIV/0!</v>
      </c>
      <c r="EU12" s="22" t="e">
        <f t="shared" ref="EU12" si="88">EU11/CR11</f>
        <v>#DIV/0!</v>
      </c>
      <c r="EV12" s="22" t="e">
        <f t="shared" ref="EV12" si="89">EV11/CS11</f>
        <v>#DIV/0!</v>
      </c>
      <c r="EW12" s="22" t="e">
        <f t="shared" ref="EW12" si="90">EW11/CT11</f>
        <v>#DIV/0!</v>
      </c>
      <c r="EX12" s="22" t="e">
        <f t="shared" ref="EX12" si="91">EX11/CU11</f>
        <v>#DIV/0!</v>
      </c>
      <c r="EY12" s="22" t="e">
        <f t="shared" ref="EY12" si="92">EY11/CV11</f>
        <v>#DIV/0!</v>
      </c>
      <c r="EZ12" s="22" t="e">
        <f t="shared" ref="EZ12" si="93">EZ11/CW11</f>
        <v>#DIV/0!</v>
      </c>
      <c r="FA12" s="22" t="e">
        <f t="shared" ref="FA12" si="94">FA11/CX11</f>
        <v>#DIV/0!</v>
      </c>
      <c r="FB12" s="22" t="e">
        <f t="shared" ref="FB12" si="95">FB11/CY11</f>
        <v>#DIV/0!</v>
      </c>
      <c r="FC12" s="22" t="e">
        <f t="shared" ref="FC12" si="96">FC11/CZ11</f>
        <v>#DIV/0!</v>
      </c>
      <c r="FD12" s="22" t="e">
        <f t="shared" ref="FD12" si="97">FD11/DA11</f>
        <v>#DIV/0!</v>
      </c>
      <c r="FE12" s="22" t="e">
        <f t="shared" ref="FE12" si="98">FE11/DB11</f>
        <v>#DIV/0!</v>
      </c>
      <c r="FF12" s="22" t="e">
        <f t="shared" ref="FF12" si="99">FF11/DC11</f>
        <v>#DIV/0!</v>
      </c>
      <c r="FG12" s="22" t="e">
        <f t="shared" ref="FG12" si="100">FG11/DD11</f>
        <v>#DIV/0!</v>
      </c>
      <c r="FH12" s="22" t="e">
        <f t="shared" ref="FH12" si="101">FH11/DE11</f>
        <v>#DIV/0!</v>
      </c>
      <c r="FI12" s="22" t="e">
        <f t="shared" ref="FI12" si="102">FI11/DF11</f>
        <v>#DIV/0!</v>
      </c>
      <c r="FJ12" s="22" t="e">
        <f t="shared" ref="FJ12" si="103">FJ11/DG11</f>
        <v>#DIV/0!</v>
      </c>
      <c r="FK12" s="22" t="e">
        <f t="shared" ref="FK12" si="104">FK11/DH11</f>
        <v>#DIV/0!</v>
      </c>
      <c r="FL12" s="22" t="e">
        <f t="shared" ref="FL12" si="105">FL11/DI11</f>
        <v>#DIV/0!</v>
      </c>
      <c r="FM12" s="22" t="e">
        <f t="shared" ref="FM12" si="106">FM11/DJ11</f>
        <v>#DIV/0!</v>
      </c>
      <c r="FN12" s="22" t="e">
        <f t="shared" ref="FN12" si="107">FN11/DK11</f>
        <v>#DIV/0!</v>
      </c>
      <c r="FO12" s="22" t="e">
        <f t="shared" ref="FO12" si="108">FO11/DL11</f>
        <v>#DIV/0!</v>
      </c>
      <c r="FP12" s="22" t="e">
        <f t="shared" ref="FP12" si="109">FP11/DM11</f>
        <v>#DIV/0!</v>
      </c>
      <c r="FQ12" s="22" t="e">
        <f t="shared" ref="FQ12" si="110">FQ11/DN11</f>
        <v>#DIV/0!</v>
      </c>
      <c r="FR12" s="22" t="e">
        <f t="shared" ref="FR12" si="111">FR11/DO11</f>
        <v>#DIV/0!</v>
      </c>
      <c r="FS12" s="22" t="e">
        <f t="shared" ref="FS12" si="112">FS11/DP11</f>
        <v>#DIV/0!</v>
      </c>
      <c r="FT12" s="22" t="e">
        <f t="shared" ref="FT12" si="113">FT11/DQ11</f>
        <v>#DIV/0!</v>
      </c>
      <c r="FU12" s="22" t="e">
        <f t="shared" ref="FU12" si="114">FU11/DR11</f>
        <v>#DIV/0!</v>
      </c>
      <c r="FV12" s="22" t="e">
        <f t="shared" ref="FV12" si="115">FV11/DS11</f>
        <v>#DIV/0!</v>
      </c>
      <c r="FW12" s="22" t="e">
        <f t="shared" ref="FW12" si="116">FW11/DT11</f>
        <v>#DIV/0!</v>
      </c>
      <c r="FX12" s="22" t="e">
        <f t="shared" ref="FX12" si="117">FX11/DU11</f>
        <v>#DIV/0!</v>
      </c>
      <c r="FY12" s="22" t="e">
        <f t="shared" ref="FY12" si="118">FY11/DV11</f>
        <v>#DIV/0!</v>
      </c>
    </row>
    <row r="13" spans="1:182" s="39" customFormat="1" ht="59.25" customHeight="1" thickBot="1" x14ac:dyDescent="0.3">
      <c r="A13" s="86" t="s">
        <v>47</v>
      </c>
      <c r="B13" s="86"/>
      <c r="C13" s="86"/>
      <c r="D13" s="86"/>
      <c r="E13" s="86"/>
      <c r="F13" s="86"/>
      <c r="G13" s="86"/>
      <c r="H13" s="37"/>
      <c r="I13" s="36" t="s">
        <v>58</v>
      </c>
      <c r="J13" s="36" t="s">
        <v>58</v>
      </c>
      <c r="K13" s="36" t="s">
        <v>58</v>
      </c>
      <c r="L13" s="36" t="s">
        <v>58</v>
      </c>
      <c r="M13" s="36"/>
      <c r="N13" s="36" t="s">
        <v>58</v>
      </c>
      <c r="O13" s="36" t="s">
        <v>58</v>
      </c>
      <c r="P13" s="36" t="s">
        <v>58</v>
      </c>
      <c r="Q13" s="36" t="s">
        <v>58</v>
      </c>
      <c r="R13" s="36" t="s">
        <v>58</v>
      </c>
      <c r="S13" s="36"/>
      <c r="T13" s="36"/>
      <c r="U13" s="36" t="s">
        <v>58</v>
      </c>
      <c r="V13" s="36" t="s">
        <v>58</v>
      </c>
      <c r="W13" s="36" t="s">
        <v>58</v>
      </c>
      <c r="X13" s="36" t="s">
        <v>58</v>
      </c>
      <c r="Y13" s="36" t="s">
        <v>58</v>
      </c>
      <c r="Z13" s="36" t="s">
        <v>58</v>
      </c>
      <c r="AA13" s="36"/>
      <c r="AB13" s="36" t="s">
        <v>58</v>
      </c>
      <c r="AC13" s="36" t="s">
        <v>58</v>
      </c>
      <c r="AD13" s="36" t="s">
        <v>58</v>
      </c>
      <c r="AE13" s="36" t="s">
        <v>58</v>
      </c>
      <c r="AF13" s="36" t="s">
        <v>58</v>
      </c>
      <c r="AG13" s="36" t="s">
        <v>58</v>
      </c>
      <c r="AH13" s="36"/>
      <c r="AI13" s="36" t="s">
        <v>58</v>
      </c>
      <c r="AJ13" s="36" t="s">
        <v>58</v>
      </c>
      <c r="AK13" s="36"/>
      <c r="AL13" s="36"/>
      <c r="AM13" s="36"/>
      <c r="AN13" s="36"/>
      <c r="AO13" s="36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/>
    </row>
  </sheetData>
  <mergeCells count="37">
    <mergeCell ref="FL5:FR5"/>
    <mergeCell ref="FS5:FY5"/>
    <mergeCell ref="EC5:EI5"/>
    <mergeCell ref="EJ5:EP5"/>
    <mergeCell ref="EQ5:EW5"/>
    <mergeCell ref="EX5:FD5"/>
    <mergeCell ref="FE5:FK5"/>
    <mergeCell ref="CT5:CZ5"/>
    <mergeCell ref="DA5:DG5"/>
    <mergeCell ref="DH5:DN5"/>
    <mergeCell ref="DO5:DU5"/>
    <mergeCell ref="DV5:EB5"/>
    <mergeCell ref="BK5:BQ5"/>
    <mergeCell ref="BR5:BX5"/>
    <mergeCell ref="BY5:CE5"/>
    <mergeCell ref="CF5:CL5"/>
    <mergeCell ref="CM5:CS5"/>
    <mergeCell ref="BD5:BJ5"/>
    <mergeCell ref="A12:D12"/>
    <mergeCell ref="F12:G12"/>
    <mergeCell ref="N5:T5"/>
    <mergeCell ref="U5:AA5"/>
    <mergeCell ref="A11:C11"/>
    <mergeCell ref="H5:M5"/>
    <mergeCell ref="G2:G5"/>
    <mergeCell ref="H3:M3"/>
    <mergeCell ref="A2:A5"/>
    <mergeCell ref="B2:B5"/>
    <mergeCell ref="C2:C5"/>
    <mergeCell ref="D2:D5"/>
    <mergeCell ref="E2:E5"/>
    <mergeCell ref="F2:F5"/>
    <mergeCell ref="A13:G13"/>
    <mergeCell ref="AB5:AH5"/>
    <mergeCell ref="AI5:AO5"/>
    <mergeCell ref="AP5:AV5"/>
    <mergeCell ref="AW5:BC5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356C-DDEE-4EC7-A9CA-B062407BFFEB}">
  <dimension ref="B1:AK9"/>
  <sheetViews>
    <sheetView topLeftCell="A2" workbookViewId="0">
      <selection activeCell="K4" sqref="K4"/>
    </sheetView>
  </sheetViews>
  <sheetFormatPr baseColWidth="10" defaultRowHeight="15" x14ac:dyDescent="0.25"/>
  <cols>
    <col min="2" max="2" width="18.28515625" customWidth="1"/>
    <col min="3" max="3" width="16.7109375" customWidth="1"/>
  </cols>
  <sheetData>
    <row r="1" spans="2:37" hidden="1" x14ac:dyDescent="0.25">
      <c r="B1" s="47"/>
    </row>
    <row r="2" spans="2:37" ht="15.75" thickBot="1" x14ac:dyDescent="0.3">
      <c r="C2" s="44">
        <v>44984</v>
      </c>
      <c r="D2" s="44">
        <v>44985</v>
      </c>
      <c r="E2" s="44">
        <v>44986</v>
      </c>
      <c r="F2" s="44">
        <v>44987</v>
      </c>
      <c r="G2" s="44">
        <v>44988</v>
      </c>
      <c r="H2" s="44">
        <v>44989</v>
      </c>
      <c r="I2" s="44">
        <v>44990</v>
      </c>
      <c r="J2" s="44">
        <v>44991</v>
      </c>
      <c r="K2" s="44">
        <v>44992</v>
      </c>
      <c r="L2" s="44">
        <v>44993</v>
      </c>
      <c r="M2" s="44">
        <v>44994</v>
      </c>
      <c r="N2" s="44">
        <v>44995</v>
      </c>
      <c r="O2" s="44">
        <v>44996</v>
      </c>
      <c r="P2" s="44">
        <v>44997</v>
      </c>
      <c r="Q2" s="44">
        <v>44998</v>
      </c>
      <c r="R2" s="44">
        <v>44999</v>
      </c>
      <c r="S2" s="44">
        <v>45000</v>
      </c>
      <c r="T2" s="44">
        <v>45001</v>
      </c>
      <c r="U2" s="44">
        <v>45002</v>
      </c>
      <c r="V2" s="44">
        <v>45003</v>
      </c>
      <c r="W2" s="44">
        <v>45004</v>
      </c>
      <c r="X2" s="44">
        <v>45005</v>
      </c>
      <c r="Y2" s="44">
        <v>45006</v>
      </c>
      <c r="Z2" s="44">
        <v>45007</v>
      </c>
      <c r="AA2" s="44">
        <v>45008</v>
      </c>
      <c r="AB2" s="44">
        <v>45009</v>
      </c>
      <c r="AC2" s="44">
        <v>45010</v>
      </c>
      <c r="AD2" s="44">
        <v>45011</v>
      </c>
      <c r="AE2" s="44">
        <v>45012</v>
      </c>
      <c r="AF2" s="44">
        <v>45013</v>
      </c>
      <c r="AG2" s="44">
        <v>45014</v>
      </c>
      <c r="AH2" s="44">
        <v>45015</v>
      </c>
      <c r="AI2" s="44">
        <v>45016</v>
      </c>
      <c r="AJ2" s="44">
        <v>45017</v>
      </c>
      <c r="AK2" s="44">
        <v>45018</v>
      </c>
    </row>
    <row r="3" spans="2:37" ht="15.75" thickBot="1" x14ac:dyDescent="0.3">
      <c r="B3" s="46" t="s">
        <v>9</v>
      </c>
      <c r="C3" s="77" t="s">
        <v>53</v>
      </c>
      <c r="D3" s="78"/>
      <c r="E3" s="78"/>
      <c r="F3" s="78"/>
      <c r="G3" s="78"/>
      <c r="H3" s="78"/>
      <c r="I3" s="79"/>
      <c r="J3" s="77" t="s">
        <v>54</v>
      </c>
      <c r="K3" s="78"/>
      <c r="L3" s="78"/>
      <c r="M3" s="78"/>
      <c r="N3" s="78"/>
      <c r="O3" s="78"/>
      <c r="P3" s="79"/>
      <c r="Q3" s="77" t="s">
        <v>55</v>
      </c>
      <c r="R3" s="78"/>
      <c r="S3" s="78"/>
      <c r="T3" s="78"/>
      <c r="U3" s="78"/>
      <c r="V3" s="78"/>
      <c r="W3" s="79"/>
      <c r="X3" s="77" t="s">
        <v>56</v>
      </c>
      <c r="Y3" s="78"/>
      <c r="Z3" s="78"/>
      <c r="AA3" s="78"/>
      <c r="AB3" s="78"/>
      <c r="AC3" s="78"/>
      <c r="AD3" s="79"/>
      <c r="AE3" s="77" t="s">
        <v>57</v>
      </c>
      <c r="AF3" s="78"/>
      <c r="AG3" s="78"/>
      <c r="AH3" s="78"/>
      <c r="AI3" s="78"/>
      <c r="AJ3" s="78"/>
      <c r="AK3" s="79"/>
    </row>
    <row r="4" spans="2:37" ht="90" thickBot="1" x14ac:dyDescent="0.3">
      <c r="B4" s="2" t="s">
        <v>3</v>
      </c>
      <c r="C4" s="23" t="s">
        <v>60</v>
      </c>
      <c r="D4" s="50" t="s">
        <v>61</v>
      </c>
      <c r="E4" s="23"/>
      <c r="F4" s="23"/>
      <c r="G4" s="23"/>
      <c r="H4" s="23"/>
      <c r="I4" s="51"/>
      <c r="J4" s="23" t="s">
        <v>62</v>
      </c>
      <c r="K4" s="23" t="s">
        <v>63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</row>
    <row r="5" spans="2:37" ht="51.75" thickBot="1" x14ac:dyDescent="0.3">
      <c r="B5" s="2" t="s">
        <v>7</v>
      </c>
      <c r="C5" s="23" t="s">
        <v>59</v>
      </c>
      <c r="D5" s="23"/>
      <c r="E5" s="23" t="s">
        <v>59</v>
      </c>
      <c r="F5" s="23" t="s">
        <v>59</v>
      </c>
      <c r="G5" s="23" t="s">
        <v>59</v>
      </c>
      <c r="H5" s="23" t="s">
        <v>59</v>
      </c>
      <c r="I5" s="51"/>
      <c r="J5" s="23" t="s">
        <v>59</v>
      </c>
      <c r="K5" s="23" t="s">
        <v>59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spans="2:37" ht="51.75" thickBot="1" x14ac:dyDescent="0.3">
      <c r="B6" s="2" t="s">
        <v>4</v>
      </c>
      <c r="C6" s="23" t="s">
        <v>59</v>
      </c>
      <c r="D6" s="3"/>
      <c r="E6" s="23" t="s">
        <v>59</v>
      </c>
      <c r="F6" s="23" t="s">
        <v>59</v>
      </c>
      <c r="G6" s="23" t="s">
        <v>59</v>
      </c>
      <c r="H6" s="23" t="s">
        <v>59</v>
      </c>
      <c r="I6" s="51"/>
      <c r="J6" s="23" t="s">
        <v>59</v>
      </c>
      <c r="K6" s="23" t="s">
        <v>59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2:37" ht="51.75" thickBot="1" x14ac:dyDescent="0.3">
      <c r="B7" s="2" t="s">
        <v>5</v>
      </c>
      <c r="C7" s="23" t="s">
        <v>59</v>
      </c>
      <c r="D7" s="3"/>
      <c r="E7" s="23" t="s">
        <v>59</v>
      </c>
      <c r="F7" s="23" t="s">
        <v>59</v>
      </c>
      <c r="G7" s="23" t="s">
        <v>59</v>
      </c>
      <c r="H7" s="23" t="s">
        <v>59</v>
      </c>
      <c r="I7" s="51"/>
      <c r="J7" s="23" t="s">
        <v>59</v>
      </c>
      <c r="K7" s="23" t="s">
        <v>59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2:37" ht="51.75" thickBot="1" x14ac:dyDescent="0.3">
      <c r="B8" s="2" t="s">
        <v>6</v>
      </c>
      <c r="C8" s="23" t="s">
        <v>59</v>
      </c>
      <c r="D8" s="3"/>
      <c r="E8" s="23" t="s">
        <v>59</v>
      </c>
      <c r="F8" s="23" t="s">
        <v>59</v>
      </c>
      <c r="G8" s="23" t="s">
        <v>59</v>
      </c>
      <c r="H8" s="23" t="s">
        <v>59</v>
      </c>
      <c r="I8" s="51"/>
      <c r="J8" s="23" t="s">
        <v>59</v>
      </c>
      <c r="K8" s="23" t="s">
        <v>59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2:37" ht="51.75" thickBot="1" x14ac:dyDescent="0.3">
      <c r="B9" s="21" t="s">
        <v>8</v>
      </c>
      <c r="C9" s="23" t="s">
        <v>59</v>
      </c>
      <c r="D9" s="49"/>
      <c r="E9" s="23" t="s">
        <v>59</v>
      </c>
      <c r="F9" s="23" t="s">
        <v>59</v>
      </c>
      <c r="G9" s="23" t="s">
        <v>59</v>
      </c>
      <c r="H9" s="23" t="s">
        <v>59</v>
      </c>
      <c r="I9" s="51"/>
      <c r="J9" s="23" t="s">
        <v>59</v>
      </c>
      <c r="K9" s="23" t="s">
        <v>59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</row>
  </sheetData>
  <mergeCells count="5">
    <mergeCell ref="C3:I3"/>
    <mergeCell ref="J3:P3"/>
    <mergeCell ref="Q3:W3"/>
    <mergeCell ref="X3:AD3"/>
    <mergeCell ref="AE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Réalisation 2022</vt:lpstr>
      <vt:lpstr>Réalisation MTN 2023</vt:lpstr>
      <vt:lpstr>Réalisation OCI 2023</vt:lpstr>
      <vt:lpstr>Rapport de Présence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2023-06-14T13:15:49Z</dcterms:modified>
</cp:coreProperties>
</file>