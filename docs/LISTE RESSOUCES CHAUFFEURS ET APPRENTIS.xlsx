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749CDAF-5BD6-4F97-9A0D-FBFD03B337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" sheetId="2" r:id="rId1"/>
    <sheet name="Feuil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I21" i="1"/>
  <c r="I20" i="1"/>
  <c r="I17" i="1"/>
  <c r="I13" i="1" l="1"/>
  <c r="I12" i="1"/>
  <c r="I19" i="1"/>
  <c r="I11" i="1" l="1"/>
  <c r="I15" i="1" l="1"/>
  <c r="I14" i="1" l="1"/>
</calcChain>
</file>

<file path=xl/sharedStrings.xml><?xml version="1.0" encoding="utf-8"?>
<sst xmlns="http://schemas.openxmlformats.org/spreadsheetml/2006/main" count="182" uniqueCount="128">
  <si>
    <t xml:space="preserve">IMM  </t>
  </si>
  <si>
    <t xml:space="preserve">MARQUE  </t>
  </si>
  <si>
    <t xml:space="preserve">MODELE  </t>
  </si>
  <si>
    <t>INDEX DEPART</t>
  </si>
  <si>
    <t>INDEX ARRIVE</t>
  </si>
  <si>
    <t xml:space="preserve">  UTILISATEUR  </t>
  </si>
  <si>
    <t>PROJET</t>
  </si>
  <si>
    <t>ACTION MENER CE JOUR</t>
  </si>
  <si>
    <t>CHEF PROJET</t>
  </si>
  <si>
    <t>N°</t>
  </si>
  <si>
    <t xml:space="preserve"> </t>
  </si>
  <si>
    <t>DISTANCE PARCOURUE</t>
  </si>
  <si>
    <t>DATE</t>
  </si>
  <si>
    <t>RENAULT</t>
  </si>
  <si>
    <t>OROCH</t>
  </si>
  <si>
    <t>SIBIRI KAMBIRE</t>
  </si>
  <si>
    <t>FTTH MTN</t>
  </si>
  <si>
    <t>DOKKER</t>
  </si>
  <si>
    <t>KWID</t>
  </si>
  <si>
    <t>NOUHO</t>
  </si>
  <si>
    <t>-</t>
  </si>
  <si>
    <t>MTN 200 SITES</t>
  </si>
  <si>
    <t>ETUDE &amp; SUPERVISION CABLAGE IMMEUBLE SUR YOPOUGON</t>
  </si>
  <si>
    <t>DESSATURATION ABENGOUROU</t>
  </si>
  <si>
    <t>BOLOU BRICE</t>
  </si>
  <si>
    <t>4333KB01</t>
  </si>
  <si>
    <t>VAGNY</t>
  </si>
  <si>
    <t>NEGO IMMEUBE ET SITES GSM</t>
  </si>
  <si>
    <t>FTTH MTN / RACINE 4</t>
  </si>
  <si>
    <t>LOGAN</t>
  </si>
  <si>
    <t>ADOBI</t>
  </si>
  <si>
    <t>240KK01</t>
  </si>
  <si>
    <t>2844KE01</t>
  </si>
  <si>
    <t>ADJOUMANI</t>
  </si>
  <si>
    <t>FTTX MTN</t>
  </si>
  <si>
    <t>ETUDE,  SUPERVISION TRAVAUX SUR SAN PEDRO</t>
  </si>
  <si>
    <t>972KE01</t>
  </si>
  <si>
    <t>CHERUBIN</t>
  </si>
  <si>
    <t>SUIVI REPORTING</t>
  </si>
  <si>
    <t>405KC01</t>
  </si>
  <si>
    <t>GUY</t>
  </si>
  <si>
    <t>SUIVI CABLAGE IMMEUBLE</t>
  </si>
  <si>
    <t>406KC01</t>
  </si>
  <si>
    <t>FALL</t>
  </si>
  <si>
    <t>ENLEVEMENT DE POTEAUX BETONS A BINGERVILLE</t>
  </si>
  <si>
    <t>9986KB01</t>
  </si>
  <si>
    <t>BOGA</t>
  </si>
  <si>
    <t>ETUDE,  SUPERVISION TRAVAUX SUR BONDOUKOU</t>
  </si>
  <si>
    <t>3219KL01</t>
  </si>
  <si>
    <t>SERY</t>
  </si>
  <si>
    <t>9985KB01</t>
  </si>
  <si>
    <t>JEAN PAUL</t>
  </si>
  <si>
    <t>ENLEVEMENT DE MATERIELS A STA</t>
  </si>
  <si>
    <t>DAGO</t>
  </si>
  <si>
    <t>9495KB01</t>
  </si>
  <si>
    <t>DIBY</t>
  </si>
  <si>
    <t>807KF01</t>
  </si>
  <si>
    <t>SICMA</t>
  </si>
  <si>
    <t>SUIVI TRAVAUX A TREICHVILLE</t>
  </si>
  <si>
    <t>KLUTSE</t>
  </si>
  <si>
    <t>DEMANDE DU 15/06/2026</t>
  </si>
  <si>
    <t>314HV01</t>
  </si>
  <si>
    <t>MERCEDES</t>
  </si>
  <si>
    <t>COMPRESSOR</t>
  </si>
  <si>
    <t>ALI</t>
  </si>
  <si>
    <t>COMPTABILITE</t>
  </si>
  <si>
    <t>DEPOT DE FACTURE</t>
  </si>
  <si>
    <t>OULOTE</t>
  </si>
  <si>
    <t>LISTE RESSOURCES CHAUFFEURS ET APPRENTIS</t>
  </si>
  <si>
    <t>IMMAT</t>
  </si>
  <si>
    <t>MARQUE</t>
  </si>
  <si>
    <t>MODELE</t>
  </si>
  <si>
    <t>CHAUFFEUR</t>
  </si>
  <si>
    <t>APPRENTI</t>
  </si>
  <si>
    <t>5768JV01</t>
  </si>
  <si>
    <t xml:space="preserve">Renault </t>
  </si>
  <si>
    <t>Kerax</t>
  </si>
  <si>
    <t>Sanogo Abdoul</t>
  </si>
  <si>
    <t>Ouédraogo Yacouba</t>
  </si>
  <si>
    <t>6233GL01</t>
  </si>
  <si>
    <t>Manager</t>
  </si>
  <si>
    <t xml:space="preserve"> Zida Drissa </t>
  </si>
  <si>
    <t>Fofana Alassane</t>
  </si>
  <si>
    <t>1933HE01</t>
  </si>
  <si>
    <t xml:space="preserve">DAF </t>
  </si>
  <si>
    <t>CF75</t>
  </si>
  <si>
    <t>M'bra Kouadio Téophile</t>
  </si>
  <si>
    <t>Karim Sanogo</t>
  </si>
  <si>
    <t>5766JV00</t>
  </si>
  <si>
    <t>Kerax 319</t>
  </si>
  <si>
    <t>Dembele Bakary</t>
  </si>
  <si>
    <t xml:space="preserve">Dera Moussa </t>
  </si>
  <si>
    <t>7380HG01</t>
  </si>
  <si>
    <t xml:space="preserve">Mercedes </t>
  </si>
  <si>
    <t>Actros</t>
  </si>
  <si>
    <t xml:space="preserve"> Diallo Ibrahima </t>
  </si>
  <si>
    <t>Diallo Mory</t>
  </si>
  <si>
    <t>4781HN01</t>
  </si>
  <si>
    <t>Kerax 385</t>
  </si>
  <si>
    <t xml:space="preserve">Bamba Lacina </t>
  </si>
  <si>
    <t xml:space="preserve">Ouedraogo Francois </t>
  </si>
  <si>
    <t>2247KB01</t>
  </si>
  <si>
    <t>XF 105</t>
  </si>
  <si>
    <t xml:space="preserve">Bamba Abdoulaye  </t>
  </si>
  <si>
    <t>Bakayoko Mamadou</t>
  </si>
  <si>
    <t>3025KH01</t>
  </si>
  <si>
    <t>Doumbia Mamadou</t>
  </si>
  <si>
    <t>Sawadogo Aboubacar</t>
  </si>
  <si>
    <t>4491KK01</t>
  </si>
  <si>
    <t xml:space="preserve">Mitsubishi </t>
  </si>
  <si>
    <t>Canter FUSO</t>
  </si>
  <si>
    <t>Kassi Amon</t>
  </si>
  <si>
    <t>4852KK01</t>
  </si>
  <si>
    <t>Coulibaly Bamoro</t>
  </si>
  <si>
    <t>1970KE01</t>
  </si>
  <si>
    <t>kerax 400</t>
  </si>
  <si>
    <t xml:space="preserve">Traore Kombe </t>
  </si>
  <si>
    <t>Yerbanga Mathias</t>
  </si>
  <si>
    <t>924KJ01</t>
  </si>
  <si>
    <t>kerax 370</t>
  </si>
  <si>
    <t>Camara Amed</t>
  </si>
  <si>
    <t>Fofana Broulaye</t>
  </si>
  <si>
    <t>2296KC01</t>
  </si>
  <si>
    <t>kerax 371</t>
  </si>
  <si>
    <t>Ouedraogo Christophe</t>
  </si>
  <si>
    <t xml:space="preserve">Konan N'srekai Ulrich </t>
  </si>
  <si>
    <t>4492KK01</t>
  </si>
  <si>
    <t>Bamba Mamadou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</si>
</sst>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CFA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" fontId="3" fillId="2" borderId="11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056E-DF6F-4948-87BB-90521482D074}">
  <dimension ref="A1:E17"/>
  <sheetViews>
    <sheetView tabSelected="1" zoomScale="80" zoomScaleNormal="80" workbookViewId="0">
      <selection activeCell="C23" sqref="C23"/>
    </sheetView>
  </sheetViews>
  <sheetFormatPr baseColWidth="10" defaultRowHeight="14.5" x14ac:dyDescent="0.35"/>
  <cols>
    <col min="1" max="1" width="13.26953125" customWidth="1"/>
    <col min="3" max="3" width="14.81640625" customWidth="1"/>
    <col min="4" max="4" width="20.36328125" customWidth="1"/>
    <col min="5" max="5" width="19.54296875" customWidth="1"/>
  </cols>
  <sheetData>
    <row r="1" spans="1:5" ht="21.5" thickBot="1" x14ac:dyDescent="0.55000000000000004">
      <c r="B1" s="24" t="s">
        <v>68</v>
      </c>
      <c r="C1" s="25"/>
      <c r="D1" s="25"/>
      <c r="E1" s="26"/>
    </row>
    <row r="2" spans="1:5" ht="21" x14ac:dyDescent="0.5">
      <c r="B2" s="27"/>
      <c r="C2" s="27"/>
      <c r="D2" s="27"/>
      <c r="E2" s="27"/>
    </row>
    <row r="3" spans="1:5" x14ac:dyDescent="0.35">
      <c r="A3" s="28" t="s">
        <v>69</v>
      </c>
      <c r="B3" s="28" t="s">
        <v>70</v>
      </c>
      <c r="C3" s="28" t="s">
        <v>71</v>
      </c>
      <c r="D3" s="29" t="s">
        <v>72</v>
      </c>
      <c r="E3" s="29" t="s">
        <v>73</v>
      </c>
    </row>
    <row r="4" spans="1:5" x14ac:dyDescent="0.35">
      <c r="A4" s="28" t="s">
        <v>74</v>
      </c>
      <c r="B4" s="28" t="s">
        <v>75</v>
      </c>
      <c r="C4" s="28" t="s">
        <v>76</v>
      </c>
      <c r="D4" s="30" t="s">
        <v>77</v>
      </c>
      <c r="E4" s="29" t="s">
        <v>78</v>
      </c>
    </row>
    <row r="5" spans="1:5" x14ac:dyDescent="0.35">
      <c r="A5" s="28" t="s">
        <v>79</v>
      </c>
      <c r="B5" s="28" t="s">
        <v>75</v>
      </c>
      <c r="C5" s="28" t="s">
        <v>80</v>
      </c>
      <c r="D5" s="28" t="s">
        <v>81</v>
      </c>
      <c r="E5" s="29" t="s">
        <v>82</v>
      </c>
    </row>
    <row r="6" spans="1:5" x14ac:dyDescent="0.35">
      <c r="A6" s="28" t="s">
        <v>83</v>
      </c>
      <c r="B6" s="28" t="s">
        <v>84</v>
      </c>
      <c r="C6" s="28" t="s">
        <v>85</v>
      </c>
      <c r="D6" s="31" t="s">
        <v>86</v>
      </c>
      <c r="E6" s="29" t="s">
        <v>87</v>
      </c>
    </row>
    <row r="7" spans="1:5" x14ac:dyDescent="0.35">
      <c r="A7" s="28" t="s">
        <v>88</v>
      </c>
      <c r="B7" s="28" t="s">
        <v>75</v>
      </c>
      <c r="C7" s="28" t="s">
        <v>89</v>
      </c>
      <c r="D7" s="28" t="s">
        <v>90</v>
      </c>
      <c r="E7" s="29" t="s">
        <v>91</v>
      </c>
    </row>
    <row r="8" spans="1:5" x14ac:dyDescent="0.35">
      <c r="A8" s="28" t="s">
        <v>92</v>
      </c>
      <c r="B8" s="28" t="s">
        <v>93</v>
      </c>
      <c r="C8" s="28" t="s">
        <v>94</v>
      </c>
      <c r="D8" s="28" t="s">
        <v>95</v>
      </c>
      <c r="E8" s="29" t="s">
        <v>96</v>
      </c>
    </row>
    <row r="9" spans="1:5" x14ac:dyDescent="0.35">
      <c r="A9" s="28" t="s">
        <v>97</v>
      </c>
      <c r="B9" s="28" t="s">
        <v>75</v>
      </c>
      <c r="C9" s="28" t="s">
        <v>98</v>
      </c>
      <c r="D9" s="32" t="s">
        <v>99</v>
      </c>
      <c r="E9" s="29" t="s">
        <v>100</v>
      </c>
    </row>
    <row r="10" spans="1:5" x14ac:dyDescent="0.35">
      <c r="A10" s="28" t="s">
        <v>101</v>
      </c>
      <c r="B10" s="28" t="s">
        <v>84</v>
      </c>
      <c r="C10" s="28" t="s">
        <v>102</v>
      </c>
      <c r="D10" s="29" t="s">
        <v>103</v>
      </c>
      <c r="E10" s="29" t="s">
        <v>104</v>
      </c>
    </row>
    <row r="11" spans="1:5" x14ac:dyDescent="0.35">
      <c r="A11" s="28" t="s">
        <v>105</v>
      </c>
      <c r="B11" s="28" t="s">
        <v>93</v>
      </c>
      <c r="C11" s="28" t="s">
        <v>94</v>
      </c>
      <c r="D11" s="29" t="s">
        <v>106</v>
      </c>
      <c r="E11" s="29" t="s">
        <v>107</v>
      </c>
    </row>
    <row r="12" spans="1:5" x14ac:dyDescent="0.35">
      <c r="A12" s="28" t="s">
        <v>108</v>
      </c>
      <c r="B12" s="28" t="s">
        <v>109</v>
      </c>
      <c r="C12" s="28" t="s">
        <v>110</v>
      </c>
      <c r="D12" s="33" t="s">
        <v>111</v>
      </c>
      <c r="E12" s="2"/>
    </row>
    <row r="13" spans="1:5" x14ac:dyDescent="0.35">
      <c r="A13" s="28" t="s">
        <v>112</v>
      </c>
      <c r="B13" s="28" t="s">
        <v>109</v>
      </c>
      <c r="C13" s="28" t="s">
        <v>110</v>
      </c>
      <c r="D13" s="29" t="s">
        <v>113</v>
      </c>
      <c r="E13" s="29"/>
    </row>
    <row r="14" spans="1:5" x14ac:dyDescent="0.35">
      <c r="A14" s="28" t="s">
        <v>114</v>
      </c>
      <c r="B14" s="28" t="s">
        <v>75</v>
      </c>
      <c r="C14" s="28" t="s">
        <v>115</v>
      </c>
      <c r="D14" s="29" t="s">
        <v>116</v>
      </c>
      <c r="E14" s="29" t="s">
        <v>117</v>
      </c>
    </row>
    <row r="15" spans="1:5" x14ac:dyDescent="0.35">
      <c r="A15" s="28" t="s">
        <v>118</v>
      </c>
      <c r="B15" s="28" t="s">
        <v>75</v>
      </c>
      <c r="C15" s="28" t="s">
        <v>119</v>
      </c>
      <c r="D15" s="28" t="s">
        <v>120</v>
      </c>
      <c r="E15" s="28" t="s">
        <v>121</v>
      </c>
    </row>
    <row r="16" spans="1:5" x14ac:dyDescent="0.35">
      <c r="A16" s="28" t="s">
        <v>122</v>
      </c>
      <c r="B16" s="28" t="s">
        <v>75</v>
      </c>
      <c r="C16" s="28" t="s">
        <v>123</v>
      </c>
      <c r="D16" s="28" t="s">
        <v>124</v>
      </c>
      <c r="E16" s="28" t="s">
        <v>125</v>
      </c>
    </row>
    <row r="17" spans="1:5" x14ac:dyDescent="0.35">
      <c r="A17" s="28" t="s">
        <v>126</v>
      </c>
      <c r="B17" s="28" t="s">
        <v>109</v>
      </c>
      <c r="C17" s="28" t="s">
        <v>110</v>
      </c>
      <c r="D17" s="29" t="s">
        <v>127</v>
      </c>
      <c r="E17" s="34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N22"/>
  <sheetViews>
    <sheetView topLeftCell="A4" zoomScale="56" zoomScaleNormal="56" workbookViewId="0">
      <selection activeCell="J14" sqref="J14"/>
    </sheetView>
  </sheetViews>
  <sheetFormatPr baseColWidth="10" defaultRowHeight="14.5" x14ac:dyDescent="0.35"/>
  <cols>
    <col min="1" max="1" width="3" bestFit="1" customWidth="1"/>
    <col min="2" max="2" width="10.1796875" customWidth="1"/>
    <col min="3" max="3" width="10.36328125" customWidth="1"/>
    <col min="4" max="4" width="9.36328125" customWidth="1"/>
    <col min="5" max="5" width="9.26953125" customWidth="1"/>
    <col min="6" max="6" width="12.36328125" customWidth="1"/>
    <col min="7" max="7" width="10.26953125" customWidth="1"/>
    <col min="8" max="9" width="13" customWidth="1"/>
    <col min="10" max="10" width="22.1796875" customWidth="1"/>
    <col min="11" max="11" width="11.26953125" customWidth="1"/>
    <col min="12" max="12" width="21.90625" customWidth="1"/>
    <col min="13" max="13" width="68.08984375" customWidth="1"/>
    <col min="14" max="14" width="18.36328125" bestFit="1" customWidth="1"/>
  </cols>
  <sheetData>
    <row r="1" spans="1:14" x14ac:dyDescent="0.35">
      <c r="C1" s="1"/>
    </row>
    <row r="4" spans="1:14" ht="15" thickBot="1" x14ac:dyDescent="0.4"/>
    <row r="5" spans="1:14" ht="14.4" customHeight="1" x14ac:dyDescent="0.35">
      <c r="G5" s="15" t="s">
        <v>60</v>
      </c>
      <c r="H5" s="16"/>
      <c r="I5" s="16"/>
      <c r="J5" s="16"/>
      <c r="K5" s="17"/>
    </row>
    <row r="6" spans="1:14" ht="14.4" customHeight="1" thickBot="1" x14ac:dyDescent="0.4">
      <c r="D6" t="s">
        <v>10</v>
      </c>
      <c r="G6" s="18"/>
      <c r="H6" s="19"/>
      <c r="I6" s="19"/>
      <c r="J6" s="19"/>
      <c r="K6" s="20"/>
    </row>
    <row r="7" spans="1:14" ht="18" customHeight="1" thickBot="1" x14ac:dyDescent="0.5">
      <c r="G7" s="21">
        <f>SUM(K11:K21)</f>
        <v>165000</v>
      </c>
      <c r="H7" s="22"/>
      <c r="I7" s="22"/>
      <c r="J7" s="22"/>
      <c r="K7" s="23"/>
      <c r="L7" t="s">
        <v>10</v>
      </c>
    </row>
    <row r="10" spans="1:14" ht="34.25" customHeight="1" x14ac:dyDescent="0.35">
      <c r="A10" s="4" t="s">
        <v>9</v>
      </c>
      <c r="B10" s="5" t="s">
        <v>0</v>
      </c>
      <c r="C10" s="5" t="s">
        <v>1</v>
      </c>
      <c r="D10" s="5" t="s">
        <v>2</v>
      </c>
      <c r="E10" s="5" t="s">
        <v>3</v>
      </c>
      <c r="F10" s="4" t="s">
        <v>12</v>
      </c>
      <c r="G10" s="5" t="s">
        <v>4</v>
      </c>
      <c r="H10" s="5" t="s">
        <v>12</v>
      </c>
      <c r="I10" s="5" t="s">
        <v>11</v>
      </c>
      <c r="J10" s="5" t="s">
        <v>5</v>
      </c>
      <c r="K10" s="5">
        <v>2000</v>
      </c>
      <c r="L10" s="5" t="s">
        <v>6</v>
      </c>
      <c r="M10" s="4" t="s">
        <v>7</v>
      </c>
      <c r="N10" s="4" t="s">
        <v>8</v>
      </c>
    </row>
    <row r="11" spans="1:14" s="2" customFormat="1" x14ac:dyDescent="0.35">
      <c r="A11" s="3">
        <v>1</v>
      </c>
      <c r="B11" s="3" t="s">
        <v>32</v>
      </c>
      <c r="C11" s="3" t="s">
        <v>13</v>
      </c>
      <c r="D11" s="3" t="s">
        <v>17</v>
      </c>
      <c r="E11" s="9">
        <v>82646</v>
      </c>
      <c r="F11" s="8">
        <v>46184</v>
      </c>
      <c r="G11" s="9">
        <v>82823</v>
      </c>
      <c r="H11" s="8">
        <v>46188</v>
      </c>
      <c r="I11" s="9">
        <f t="shared" ref="I11:I12" si="0">G11-E11</f>
        <v>177</v>
      </c>
      <c r="J11" s="11" t="s">
        <v>33</v>
      </c>
      <c r="K11" s="6">
        <v>15000</v>
      </c>
      <c r="L11" s="3" t="s">
        <v>34</v>
      </c>
      <c r="M11" s="3" t="s">
        <v>35</v>
      </c>
      <c r="N11" s="3" t="s">
        <v>15</v>
      </c>
    </row>
    <row r="12" spans="1:14" s="2" customFormat="1" x14ac:dyDescent="0.35">
      <c r="A12" s="3">
        <v>2</v>
      </c>
      <c r="B12" s="3" t="s">
        <v>39</v>
      </c>
      <c r="C12" s="3" t="s">
        <v>13</v>
      </c>
      <c r="D12" s="3" t="s">
        <v>17</v>
      </c>
      <c r="E12" s="3">
        <v>76548</v>
      </c>
      <c r="F12" s="8">
        <v>46182</v>
      </c>
      <c r="G12" s="3">
        <v>76658</v>
      </c>
      <c r="H12" s="8">
        <v>46188</v>
      </c>
      <c r="I12" s="3">
        <f t="shared" si="0"/>
        <v>110</v>
      </c>
      <c r="J12" s="11" t="s">
        <v>40</v>
      </c>
      <c r="K12" s="6">
        <v>15000</v>
      </c>
      <c r="L12" s="3" t="s">
        <v>16</v>
      </c>
      <c r="M12" s="3" t="s">
        <v>41</v>
      </c>
      <c r="N12" s="3" t="s">
        <v>15</v>
      </c>
    </row>
    <row r="13" spans="1:14" x14ac:dyDescent="0.35">
      <c r="A13" s="3">
        <v>3</v>
      </c>
      <c r="B13" s="3" t="s">
        <v>31</v>
      </c>
      <c r="C13" s="3" t="s">
        <v>13</v>
      </c>
      <c r="D13" s="3" t="s">
        <v>29</v>
      </c>
      <c r="E13" s="3">
        <v>85034</v>
      </c>
      <c r="F13" s="8">
        <v>46184</v>
      </c>
      <c r="G13" s="3">
        <v>85153</v>
      </c>
      <c r="H13" s="8">
        <v>46188</v>
      </c>
      <c r="I13" s="3">
        <f>G13-E13</f>
        <v>119</v>
      </c>
      <c r="J13" s="10" t="s">
        <v>30</v>
      </c>
      <c r="K13" s="6">
        <v>15000</v>
      </c>
      <c r="L13" s="3" t="s">
        <v>16</v>
      </c>
      <c r="M13" s="3" t="s">
        <v>23</v>
      </c>
      <c r="N13" s="3" t="s">
        <v>15</v>
      </c>
    </row>
    <row r="14" spans="1:14" x14ac:dyDescent="0.35">
      <c r="A14" s="3">
        <v>4</v>
      </c>
      <c r="B14" s="3" t="s">
        <v>25</v>
      </c>
      <c r="C14" s="3" t="s">
        <v>13</v>
      </c>
      <c r="D14" s="3" t="s">
        <v>18</v>
      </c>
      <c r="E14" s="3">
        <v>102301</v>
      </c>
      <c r="F14" s="8">
        <v>46184</v>
      </c>
      <c r="G14" s="3">
        <v>102420</v>
      </c>
      <c r="H14" s="8">
        <v>46188</v>
      </c>
      <c r="I14" s="3">
        <f t="shared" ref="I14:I15" si="1">G14-E14</f>
        <v>119</v>
      </c>
      <c r="J14" s="10" t="s">
        <v>24</v>
      </c>
      <c r="K14" s="6">
        <v>15000</v>
      </c>
      <c r="L14" s="3" t="s">
        <v>28</v>
      </c>
      <c r="M14" s="3" t="s">
        <v>27</v>
      </c>
      <c r="N14" s="3" t="s">
        <v>26</v>
      </c>
    </row>
    <row r="15" spans="1:14" x14ac:dyDescent="0.35">
      <c r="A15" s="3">
        <v>5</v>
      </c>
      <c r="B15" s="3" t="s">
        <v>45</v>
      </c>
      <c r="C15" s="3" t="s">
        <v>13</v>
      </c>
      <c r="D15" s="3" t="s">
        <v>17</v>
      </c>
      <c r="E15" s="9">
        <v>81138</v>
      </c>
      <c r="F15" s="8">
        <v>46182</v>
      </c>
      <c r="G15" s="9">
        <v>81260</v>
      </c>
      <c r="H15" s="8">
        <v>46188</v>
      </c>
      <c r="I15" s="9">
        <f t="shared" si="1"/>
        <v>122</v>
      </c>
      <c r="J15" s="11" t="s">
        <v>46</v>
      </c>
      <c r="K15" s="6">
        <v>15000</v>
      </c>
      <c r="L15" s="3" t="s">
        <v>16</v>
      </c>
      <c r="M15" s="3" t="s">
        <v>47</v>
      </c>
      <c r="N15" s="3" t="s">
        <v>15</v>
      </c>
    </row>
    <row r="16" spans="1:14" x14ac:dyDescent="0.35">
      <c r="A16" s="3">
        <v>6</v>
      </c>
      <c r="B16" s="3" t="s">
        <v>56</v>
      </c>
      <c r="C16" s="3" t="s">
        <v>13</v>
      </c>
      <c r="D16" s="3" t="s">
        <v>14</v>
      </c>
      <c r="E16" s="7" t="s">
        <v>20</v>
      </c>
      <c r="F16" s="8">
        <v>46183</v>
      </c>
      <c r="G16" s="7" t="s">
        <v>20</v>
      </c>
      <c r="H16" s="8">
        <v>46188</v>
      </c>
      <c r="I16" s="7" t="s">
        <v>20</v>
      </c>
      <c r="J16" s="10" t="s">
        <v>55</v>
      </c>
      <c r="K16" s="6">
        <v>15000</v>
      </c>
      <c r="L16" s="3" t="s">
        <v>57</v>
      </c>
      <c r="M16" s="3" t="s">
        <v>58</v>
      </c>
      <c r="N16" s="3" t="s">
        <v>59</v>
      </c>
    </row>
    <row r="17" spans="1:14" x14ac:dyDescent="0.35">
      <c r="A17" s="3">
        <v>7</v>
      </c>
      <c r="B17" s="3" t="s">
        <v>42</v>
      </c>
      <c r="C17" s="3" t="s">
        <v>13</v>
      </c>
      <c r="D17" s="3" t="s">
        <v>17</v>
      </c>
      <c r="E17" s="3">
        <v>65184</v>
      </c>
      <c r="F17" s="8">
        <v>46183</v>
      </c>
      <c r="G17" s="3">
        <v>65298</v>
      </c>
      <c r="H17" s="8">
        <v>46188</v>
      </c>
      <c r="I17" s="3">
        <f t="shared" ref="I17" si="2">G17-E17</f>
        <v>114</v>
      </c>
      <c r="J17" s="11" t="s">
        <v>43</v>
      </c>
      <c r="K17" s="6">
        <v>15000</v>
      </c>
      <c r="L17" s="3" t="s">
        <v>16</v>
      </c>
      <c r="M17" s="3" t="s">
        <v>44</v>
      </c>
      <c r="N17" s="3" t="s">
        <v>15</v>
      </c>
    </row>
    <row r="18" spans="1:14" x14ac:dyDescent="0.35">
      <c r="A18" s="3">
        <v>8</v>
      </c>
      <c r="B18" s="3" t="s">
        <v>54</v>
      </c>
      <c r="C18" s="3" t="s">
        <v>13</v>
      </c>
      <c r="D18" s="3" t="s">
        <v>17</v>
      </c>
      <c r="E18" s="7" t="s">
        <v>20</v>
      </c>
      <c r="F18" s="8">
        <v>46185</v>
      </c>
      <c r="G18" s="7" t="s">
        <v>20</v>
      </c>
      <c r="H18" s="8">
        <v>46188</v>
      </c>
      <c r="I18" s="7" t="s">
        <v>20</v>
      </c>
      <c r="J18" s="10" t="s">
        <v>53</v>
      </c>
      <c r="K18" s="6">
        <v>15000</v>
      </c>
      <c r="L18" s="3" t="s">
        <v>16</v>
      </c>
      <c r="M18" s="3" t="s">
        <v>22</v>
      </c>
      <c r="N18" s="3" t="s">
        <v>15</v>
      </c>
    </row>
    <row r="19" spans="1:14" x14ac:dyDescent="0.35">
      <c r="A19" s="3">
        <v>9</v>
      </c>
      <c r="B19" s="3" t="s">
        <v>36</v>
      </c>
      <c r="C19" s="3" t="s">
        <v>13</v>
      </c>
      <c r="D19" s="3" t="s">
        <v>18</v>
      </c>
      <c r="E19" s="3">
        <v>76931</v>
      </c>
      <c r="F19" s="8">
        <v>46181</v>
      </c>
      <c r="G19" s="3">
        <v>77206</v>
      </c>
      <c r="H19" s="8">
        <v>46188</v>
      </c>
      <c r="I19" s="3">
        <f t="shared" ref="I19:I21" si="3">G19-E19</f>
        <v>275</v>
      </c>
      <c r="J19" s="11" t="s">
        <v>37</v>
      </c>
      <c r="K19" s="6">
        <v>15000</v>
      </c>
      <c r="L19" s="3" t="s">
        <v>21</v>
      </c>
      <c r="M19" s="3" t="s">
        <v>38</v>
      </c>
      <c r="N19" s="3" t="s">
        <v>19</v>
      </c>
    </row>
    <row r="20" spans="1:14" x14ac:dyDescent="0.35">
      <c r="A20" s="3">
        <v>10</v>
      </c>
      <c r="B20" s="3" t="s">
        <v>48</v>
      </c>
      <c r="C20" s="3" t="s">
        <v>13</v>
      </c>
      <c r="D20" s="3" t="s">
        <v>14</v>
      </c>
      <c r="E20" s="3">
        <v>104377</v>
      </c>
      <c r="F20" s="8">
        <v>46183</v>
      </c>
      <c r="G20" s="3">
        <v>104507</v>
      </c>
      <c r="H20" s="8">
        <v>46188</v>
      </c>
      <c r="I20" s="3">
        <f t="shared" si="3"/>
        <v>130</v>
      </c>
      <c r="J20" s="10" t="s">
        <v>49</v>
      </c>
      <c r="K20" s="6">
        <v>15000</v>
      </c>
      <c r="L20" s="3" t="s">
        <v>16</v>
      </c>
      <c r="M20" s="3" t="s">
        <v>23</v>
      </c>
      <c r="N20" s="3" t="s">
        <v>15</v>
      </c>
    </row>
    <row r="21" spans="1:14" x14ac:dyDescent="0.35">
      <c r="A21" s="3">
        <v>11</v>
      </c>
      <c r="B21" s="3" t="s">
        <v>50</v>
      </c>
      <c r="C21" s="3" t="s">
        <v>13</v>
      </c>
      <c r="D21" s="3" t="s">
        <v>17</v>
      </c>
      <c r="E21" s="9">
        <v>81138</v>
      </c>
      <c r="F21" s="8">
        <v>46183</v>
      </c>
      <c r="G21" s="9">
        <v>81260</v>
      </c>
      <c r="H21" s="8">
        <v>46188</v>
      </c>
      <c r="I21" s="9">
        <f t="shared" si="3"/>
        <v>122</v>
      </c>
      <c r="J21" s="11" t="s">
        <v>51</v>
      </c>
      <c r="K21" s="6">
        <v>15000</v>
      </c>
      <c r="L21" s="3" t="s">
        <v>16</v>
      </c>
      <c r="M21" s="3" t="s">
        <v>52</v>
      </c>
      <c r="N21" s="3" t="s">
        <v>15</v>
      </c>
    </row>
    <row r="22" spans="1:14" x14ac:dyDescent="0.35">
      <c r="B22" s="12" t="s">
        <v>61</v>
      </c>
      <c r="C22" s="12" t="s">
        <v>62</v>
      </c>
      <c r="D22" s="12" t="s">
        <v>63</v>
      </c>
      <c r="E22" s="7" t="s">
        <v>20</v>
      </c>
      <c r="F22" s="8">
        <v>46183</v>
      </c>
      <c r="G22" s="7" t="s">
        <v>20</v>
      </c>
      <c r="H22" s="8">
        <v>46188</v>
      </c>
      <c r="I22" s="7" t="s">
        <v>20</v>
      </c>
      <c r="J22" s="13" t="s">
        <v>64</v>
      </c>
      <c r="K22" s="14">
        <v>15000</v>
      </c>
      <c r="L22" s="12" t="s">
        <v>65</v>
      </c>
      <c r="M22" s="12" t="s">
        <v>66</v>
      </c>
      <c r="N22" s="12" t="s">
        <v>67</v>
      </c>
    </row>
  </sheetData>
  <mergeCells count="2">
    <mergeCell ref="G5:K6"/>
    <mergeCell ref="G7:K7"/>
  </mergeCells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2026-05-10T21:27:44Z</cp:lastPrinted>
  <dcterms:created xsi:type="dcterms:W3CDTF">2024-12-22T14:37:12Z</dcterms:created>
  <dcterms:modified xsi:type="dcterms:W3CDTF">2026-06-17T09:32:04Z</dcterms:modified>
</cp:coreProperties>
</file>